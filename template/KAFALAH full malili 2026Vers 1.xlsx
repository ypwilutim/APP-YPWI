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CER_\Downloads\"/>
    </mc:Choice>
  </mc:AlternateContent>
  <xr:revisionPtr revIDLastSave="0" documentId="13_ncr:1_{72C84D01-4832-4B0F-B7A0-BCB078E1B7D4}" xr6:coauthVersionLast="47" xr6:coauthVersionMax="47" xr10:uidLastSave="{00000000-0000-0000-0000-000000000000}"/>
  <bookViews>
    <workbookView xWindow="-110" yWindow="-110" windowWidth="19420" windowHeight="11500" tabRatio="847" firstSheet="6" activeTab="7" xr2:uid="{00000000-000D-0000-FFFF-FFFF00000000}"/>
  </bookViews>
  <sheets>
    <sheet name="Tabel Gaji Guru Tetap" sheetId="44" r:id="rId1"/>
    <sheet name="Tabel Gaji Kontrak" sheetId="45" r:id="rId2"/>
    <sheet name="Data Base TK Malili" sheetId="25" r:id="rId3"/>
    <sheet name="TK Malili" sheetId="29" r:id="rId4"/>
    <sheet name="Slip Gaji TK" sheetId="36" r:id="rId5"/>
    <sheet name="REKAP KAFALAH TK" sheetId="22" r:id="rId6"/>
    <sheet name="Data Base Guru SD" sheetId="23" r:id="rId7"/>
    <sheet name="SDIT IR Malili " sheetId="6" r:id="rId8"/>
    <sheet name="Slip Gaji SD" sheetId="19" r:id="rId9"/>
    <sheet name="REKAP KAFALAH SD" sheetId="40" r:id="rId10"/>
    <sheet name="Data Base SMP Malili" sheetId="26" r:id="rId11"/>
    <sheet name="SMP Malili" sheetId="30" r:id="rId12"/>
    <sheet name="Slip Gaji SMP" sheetId="37" r:id="rId13"/>
    <sheet name="REKAP KAFALAH SMP" sheetId="41" r:id="rId14"/>
    <sheet name="Data Base SMA PPIB" sheetId="27" r:id="rId15"/>
    <sheet name="SMA PIPB" sheetId="31" r:id="rId16"/>
    <sheet name="Slip Gaji SMA" sheetId="38" r:id="rId17"/>
    <sheet name="REKAP KAFALAH SMA" sheetId="42" r:id="rId18"/>
    <sheet name="Data Base PPTQ Malili" sheetId="28" r:id="rId19"/>
    <sheet name="Ponpes Malili" sheetId="32" r:id="rId20"/>
    <sheet name="Slip Gaji Ponpes" sheetId="39" r:id="rId21"/>
    <sheet name="REKAP KAFALAH PONPES" sheetId="43" r:id="rId22"/>
    <sheet name="Guru Inval" sheetId="34" r:id="rId23"/>
    <sheet name="Non Tendik" sheetId="35" r:id="rId24"/>
    <sheet name="Total Rekap Unit" sheetId="33" r:id="rId25"/>
  </sheets>
  <definedNames>
    <definedName name="_xlnm._FilterDatabase" localSheetId="6" hidden="1">'Data Base Guru SD'!$A$6:$AH$43</definedName>
    <definedName name="_xlnm._FilterDatabase" localSheetId="18" hidden="1">'Data Base PPTQ Malili'!$A$6:$AH$14</definedName>
    <definedName name="_xlnm._FilterDatabase" localSheetId="14" hidden="1">'Data Base SMA PPIB'!$A$6:$AH$10</definedName>
    <definedName name="_xlnm._FilterDatabase" localSheetId="10" hidden="1">'Data Base SMP Malili'!$A$6:$AH$17</definedName>
    <definedName name="_xlnm._FilterDatabase" localSheetId="2" hidden="1">'Data Base TK Malili'!$A$6:$AH$13</definedName>
    <definedName name="_xlnm.Print_Area" localSheetId="19">'Ponpes Malili'!$A$1:$AY$19</definedName>
    <definedName name="_xlnm.Print_Area" localSheetId="21">'REKAP KAFALAH PONPES'!$A$1:$F$15</definedName>
    <definedName name="_xlnm.Print_Area" localSheetId="9">'REKAP KAFALAH SD'!$A$1:$F$43</definedName>
    <definedName name="_xlnm.Print_Area" localSheetId="17">'REKAP KAFALAH SMA'!$A$1:$F$14</definedName>
    <definedName name="_xlnm.Print_Area" localSheetId="13">'REKAP KAFALAH SMP'!$A$1:$F$18</definedName>
    <definedName name="_xlnm.Print_Area" localSheetId="5">'REKAP KAFALAH TK'!$A$1:$F$13</definedName>
    <definedName name="_xlnm.Print_Area" localSheetId="7">'SDIT IR Malili '!$A$1:$AW$49</definedName>
    <definedName name="_xlnm.Print_Area" localSheetId="15">'SMA PIPB'!$A$1:$AY$20</definedName>
    <definedName name="_xlnm.Print_Area" localSheetId="11">'SMP Malili'!$A$1:$AY$25</definedName>
    <definedName name="_xlnm.Print_Area" localSheetId="3">'TK Malili'!$A$1:$AW$20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5" i="32" l="1"/>
  <c r="AH14" i="32"/>
  <c r="AH13" i="32"/>
  <c r="AH11" i="32"/>
  <c r="AH12" i="31"/>
  <c r="AH13" i="31"/>
  <c r="AH14" i="31"/>
  <c r="AH15" i="31"/>
  <c r="AH16" i="31"/>
  <c r="AH17" i="31"/>
  <c r="AH18" i="31"/>
  <c r="AH11" i="31"/>
  <c r="AH20" i="30"/>
  <c r="AH19" i="30"/>
  <c r="AH18" i="30"/>
  <c r="AH17" i="30"/>
  <c r="AH12" i="30"/>
  <c r="AH13" i="30"/>
  <c r="AH14" i="30"/>
  <c r="AH11" i="30"/>
  <c r="AJ20" i="30"/>
  <c r="AI20" i="30"/>
  <c r="AJ19" i="30"/>
  <c r="AI19" i="30"/>
  <c r="AJ18" i="30"/>
  <c r="AI18" i="30"/>
  <c r="AJ17" i="30"/>
  <c r="AI17" i="30"/>
  <c r="AJ14" i="30"/>
  <c r="AI14" i="30"/>
  <c r="AJ13" i="30"/>
  <c r="AI13" i="30"/>
  <c r="AJ12" i="30"/>
  <c r="AI12" i="30"/>
  <c r="AJ11" i="30"/>
  <c r="AI11" i="30"/>
  <c r="AF12" i="29"/>
  <c r="AF13" i="29"/>
  <c r="AF14" i="29"/>
  <c r="AF15" i="29"/>
  <c r="AF16" i="29"/>
  <c r="AF17" i="29"/>
  <c r="AF18" i="29"/>
  <c r="AF11" i="29"/>
  <c r="Y13" i="32"/>
  <c r="D9" i="44"/>
  <c r="D10" i="44"/>
  <c r="D7" i="44"/>
  <c r="D8" i="44"/>
  <c r="C15" i="44"/>
  <c r="K16" i="44"/>
  <c r="I16" i="44"/>
  <c r="G16" i="44"/>
  <c r="E16" i="44"/>
  <c r="C16" i="44"/>
  <c r="F8" i="44"/>
  <c r="H8" i="44" s="1"/>
  <c r="J8" i="44" s="1"/>
  <c r="L8" i="44" s="1"/>
  <c r="D16" i="44" s="1"/>
  <c r="F16" i="44" s="1"/>
  <c r="H16" i="44" s="1"/>
  <c r="J16" i="44" s="1"/>
  <c r="L16" i="44" s="1"/>
  <c r="K8" i="44"/>
  <c r="I8" i="44"/>
  <c r="G8" i="44"/>
  <c r="E8" i="44"/>
  <c r="E9" i="44"/>
  <c r="G9" i="44" s="1"/>
  <c r="I9" i="44" s="1"/>
  <c r="K9" i="44" s="1"/>
  <c r="C17" i="44" s="1"/>
  <c r="E17" i="44" s="1"/>
  <c r="G17" i="44" s="1"/>
  <c r="I17" i="44" s="1"/>
  <c r="K17" i="44" s="1"/>
  <c r="E10" i="44"/>
  <c r="G10" i="44" s="1"/>
  <c r="I10" i="44" s="1"/>
  <c r="K10" i="44" s="1"/>
  <c r="C18" i="44" s="1"/>
  <c r="E18" i="44" s="1"/>
  <c r="G18" i="44" s="1"/>
  <c r="I18" i="44" s="1"/>
  <c r="K18" i="44" s="1"/>
  <c r="E7" i="44"/>
  <c r="G7" i="44" s="1"/>
  <c r="I7" i="44" s="1"/>
  <c r="K7" i="44" s="1"/>
  <c r="E15" i="44" s="1"/>
  <c r="G15" i="44" s="1"/>
  <c r="I15" i="44" s="1"/>
  <c r="K15" i="44" s="1"/>
  <c r="F7" i="44"/>
  <c r="H7" i="44" s="1"/>
  <c r="J7" i="44" s="1"/>
  <c r="L7" i="44" s="1"/>
  <c r="F10" i="44"/>
  <c r="H10" i="44" s="1"/>
  <c r="J10" i="44" s="1"/>
  <c r="L10" i="44" s="1"/>
  <c r="D18" i="44" s="1"/>
  <c r="F18" i="44" s="1"/>
  <c r="H18" i="44" s="1"/>
  <c r="J18" i="44" s="1"/>
  <c r="L18" i="44" s="1"/>
  <c r="F9" i="44"/>
  <c r="H9" i="44" s="1"/>
  <c r="J9" i="44" s="1"/>
  <c r="L9" i="44" s="1"/>
  <c r="D17" i="44" s="1"/>
  <c r="F17" i="44" s="1"/>
  <c r="H17" i="44" s="1"/>
  <c r="J17" i="44" s="1"/>
  <c r="L17" i="44" s="1"/>
  <c r="E12" i="45"/>
  <c r="E13" i="45"/>
  <c r="E14" i="45"/>
  <c r="E11" i="45"/>
  <c r="D12" i="45"/>
  <c r="D13" i="45"/>
  <c r="D14" i="45"/>
  <c r="D11" i="45"/>
  <c r="D15" i="44" l="1"/>
  <c r="F15" i="44" s="1"/>
  <c r="H15" i="44" s="1"/>
  <c r="J15" i="44" s="1"/>
  <c r="L15" i="44" s="1"/>
  <c r="W12" i="34" l="1"/>
  <c r="W13" i="34"/>
  <c r="W14" i="34"/>
  <c r="W15" i="34"/>
  <c r="W16" i="34"/>
  <c r="W17" i="34"/>
  <c r="V12" i="34"/>
  <c r="V13" i="34"/>
  <c r="V14" i="34"/>
  <c r="V15" i="34"/>
  <c r="V16" i="34"/>
  <c r="V17" i="34"/>
  <c r="V11" i="34"/>
  <c r="X12" i="34"/>
  <c r="X13" i="34"/>
  <c r="X14" i="34"/>
  <c r="X15" i="34"/>
  <c r="X16" i="34"/>
  <c r="X17" i="34"/>
  <c r="X11" i="34"/>
  <c r="D18" i="35"/>
  <c r="C13" i="33"/>
  <c r="F10" i="43"/>
  <c r="F11" i="43"/>
  <c r="F12" i="43"/>
  <c r="F13" i="43"/>
  <c r="E10" i="43"/>
  <c r="E11" i="43"/>
  <c r="E12" i="43"/>
  <c r="E13" i="43"/>
  <c r="D6" i="43"/>
  <c r="D10" i="43"/>
  <c r="D11" i="43"/>
  <c r="D12" i="43"/>
  <c r="D13" i="43"/>
  <c r="C7" i="43"/>
  <c r="C8" i="43"/>
  <c r="C10" i="43"/>
  <c r="C11" i="43"/>
  <c r="C12" i="43"/>
  <c r="C13" i="43"/>
  <c r="B12" i="43"/>
  <c r="B13" i="43"/>
  <c r="B6" i="43"/>
  <c r="B7" i="43"/>
  <c r="B8" i="43"/>
  <c r="B9" i="43"/>
  <c r="B10" i="43"/>
  <c r="B11" i="43"/>
  <c r="B5" i="43"/>
  <c r="A3" i="43"/>
  <c r="A2" i="43"/>
  <c r="C8" i="42"/>
  <c r="C9" i="42"/>
  <c r="C10" i="42"/>
  <c r="C11" i="42"/>
  <c r="C12" i="42"/>
  <c r="B6" i="42"/>
  <c r="B7" i="42"/>
  <c r="B8" i="42"/>
  <c r="B9" i="42"/>
  <c r="B10" i="42"/>
  <c r="B11" i="42"/>
  <c r="B12" i="42"/>
  <c r="B5" i="42"/>
  <c r="A3" i="42"/>
  <c r="A2" i="42"/>
  <c r="F15" i="41"/>
  <c r="F16" i="41"/>
  <c r="E15" i="41"/>
  <c r="E16" i="41"/>
  <c r="D15" i="41"/>
  <c r="D16" i="41"/>
  <c r="C15" i="41"/>
  <c r="C16" i="41"/>
  <c r="B16" i="41"/>
  <c r="B6" i="41"/>
  <c r="B7" i="41"/>
  <c r="B8" i="41"/>
  <c r="B9" i="41"/>
  <c r="B10" i="41"/>
  <c r="B11" i="41"/>
  <c r="B12" i="41"/>
  <c r="B13" i="41"/>
  <c r="B14" i="41"/>
  <c r="B15" i="41"/>
  <c r="B5" i="41"/>
  <c r="A3" i="41"/>
  <c r="A2" i="41"/>
  <c r="A3" i="40"/>
  <c r="A2" i="40"/>
  <c r="F12" i="40"/>
  <c r="F13" i="40"/>
  <c r="F14" i="40"/>
  <c r="F15" i="40"/>
  <c r="F16" i="40"/>
  <c r="F17" i="40"/>
  <c r="F41" i="40"/>
  <c r="E12" i="40"/>
  <c r="E13" i="40"/>
  <c r="E14" i="40"/>
  <c r="E15" i="40"/>
  <c r="E16" i="40"/>
  <c r="E17" i="40"/>
  <c r="E41" i="40"/>
  <c r="D6" i="40"/>
  <c r="D7" i="40"/>
  <c r="D8" i="40"/>
  <c r="D9" i="40"/>
  <c r="D10" i="40"/>
  <c r="D11" i="40"/>
  <c r="D12" i="40"/>
  <c r="D13" i="40"/>
  <c r="D14" i="40"/>
  <c r="D15" i="40"/>
  <c r="D16" i="40"/>
  <c r="D17" i="40"/>
  <c r="D18" i="40"/>
  <c r="D19" i="40"/>
  <c r="D20" i="40"/>
  <c r="D21" i="40"/>
  <c r="D22" i="40"/>
  <c r="D23" i="40"/>
  <c r="D24" i="40"/>
  <c r="D25" i="40"/>
  <c r="D26" i="40"/>
  <c r="D27" i="40"/>
  <c r="D28" i="40"/>
  <c r="D29" i="40"/>
  <c r="D30" i="40"/>
  <c r="D31" i="40"/>
  <c r="D32" i="40"/>
  <c r="D33" i="40"/>
  <c r="D34" i="40"/>
  <c r="D35" i="40"/>
  <c r="D36" i="40"/>
  <c r="D37" i="40"/>
  <c r="D38" i="40"/>
  <c r="D39" i="40"/>
  <c r="D40" i="40"/>
  <c r="D41" i="40"/>
  <c r="D5" i="40"/>
  <c r="C12" i="40"/>
  <c r="C13" i="40"/>
  <c r="C14" i="40"/>
  <c r="C15" i="40"/>
  <c r="C16" i="40"/>
  <c r="C17" i="40"/>
  <c r="C41" i="40"/>
  <c r="B40" i="40"/>
  <c r="B41" i="40"/>
  <c r="B37" i="40"/>
  <c r="B38" i="40"/>
  <c r="B39" i="40"/>
  <c r="B33" i="40"/>
  <c r="B34" i="40"/>
  <c r="B35" i="40"/>
  <c r="B36" i="40"/>
  <c r="B6" i="40"/>
  <c r="B7" i="40"/>
  <c r="B8" i="40"/>
  <c r="B9" i="40"/>
  <c r="B10" i="40"/>
  <c r="B11" i="40"/>
  <c r="B12" i="40"/>
  <c r="B13" i="40"/>
  <c r="B14" i="40"/>
  <c r="B15" i="40"/>
  <c r="B16" i="40"/>
  <c r="B17" i="40"/>
  <c r="B18" i="40"/>
  <c r="B19" i="40"/>
  <c r="B20" i="40"/>
  <c r="B21" i="40"/>
  <c r="B22" i="40"/>
  <c r="B23" i="40"/>
  <c r="B24" i="40"/>
  <c r="B25" i="40"/>
  <c r="B26" i="40"/>
  <c r="B27" i="40"/>
  <c r="B28" i="40"/>
  <c r="B29" i="40"/>
  <c r="B30" i="40"/>
  <c r="B31" i="40"/>
  <c r="B32" i="40"/>
  <c r="B5" i="40"/>
  <c r="C11" i="22"/>
  <c r="B6" i="22"/>
  <c r="B7" i="22"/>
  <c r="B8" i="22"/>
  <c r="B9" i="22"/>
  <c r="B10" i="22"/>
  <c r="B11" i="22"/>
  <c r="B5" i="22"/>
  <c r="A3" i="22"/>
  <c r="A2" i="22"/>
  <c r="AN18" i="6"/>
  <c r="AN19" i="6"/>
  <c r="AN20" i="6"/>
  <c r="AN21" i="6"/>
  <c r="AN22" i="6"/>
  <c r="AN23" i="6"/>
  <c r="AP16" i="32"/>
  <c r="AP17" i="32"/>
  <c r="AP18" i="32"/>
  <c r="E28" i="39"/>
  <c r="E27" i="39"/>
  <c r="E26" i="39"/>
  <c r="E20" i="39"/>
  <c r="E19" i="39"/>
  <c r="E18" i="39"/>
  <c r="E17" i="39"/>
  <c r="E16" i="39"/>
  <c r="E15" i="39"/>
  <c r="E13" i="39"/>
  <c r="E12" i="39"/>
  <c r="E11" i="39"/>
  <c r="E10" i="39"/>
  <c r="E7" i="39"/>
  <c r="E6" i="39"/>
  <c r="E5" i="39"/>
  <c r="AS11" i="32"/>
  <c r="C20" i="39"/>
  <c r="C19" i="39"/>
  <c r="C18" i="39"/>
  <c r="C17" i="39"/>
  <c r="C16" i="39"/>
  <c r="C15" i="39"/>
  <c r="C13" i="39"/>
  <c r="A12" i="39"/>
  <c r="A11" i="39"/>
  <c r="B8" i="39"/>
  <c r="AK12" i="32"/>
  <c r="AK13" i="32"/>
  <c r="AK14" i="32"/>
  <c r="AK15" i="32"/>
  <c r="AK16" i="32"/>
  <c r="AK17" i="32"/>
  <c r="AK18" i="32"/>
  <c r="AK11" i="32"/>
  <c r="AG12" i="32"/>
  <c r="AG13" i="32"/>
  <c r="AG14" i="32"/>
  <c r="AG15" i="32"/>
  <c r="AG16" i="32"/>
  <c r="AG17" i="32"/>
  <c r="AG18" i="32"/>
  <c r="AG11" i="32"/>
  <c r="AK12" i="31"/>
  <c r="AK13" i="31"/>
  <c r="AK14" i="31"/>
  <c r="AK15" i="31"/>
  <c r="AK16" i="31"/>
  <c r="AK17" i="31"/>
  <c r="AK18" i="31"/>
  <c r="AK11" i="31"/>
  <c r="E28" i="38"/>
  <c r="E26" i="38"/>
  <c r="E20" i="38"/>
  <c r="E19" i="38"/>
  <c r="E18" i="38"/>
  <c r="E17" i="38"/>
  <c r="E16" i="38"/>
  <c r="E15" i="38"/>
  <c r="E13" i="38"/>
  <c r="E12" i="38"/>
  <c r="E11" i="38"/>
  <c r="E10" i="38"/>
  <c r="E7" i="38"/>
  <c r="E6" i="38"/>
  <c r="E5" i="38"/>
  <c r="C20" i="38"/>
  <c r="C19" i="38"/>
  <c r="C18" i="38"/>
  <c r="C17" i="38"/>
  <c r="C16" i="38"/>
  <c r="C15" i="38"/>
  <c r="C14" i="38"/>
  <c r="C13" i="38"/>
  <c r="A12" i="38"/>
  <c r="A11" i="38"/>
  <c r="B9" i="38"/>
  <c r="B8" i="38"/>
  <c r="AG11" i="31"/>
  <c r="E24" i="38"/>
  <c r="E8" i="38"/>
  <c r="E32" i="38" s="1"/>
  <c r="E28" i="37"/>
  <c r="E26" i="37"/>
  <c r="E20" i="37"/>
  <c r="E19" i="37"/>
  <c r="E18" i="37"/>
  <c r="E17" i="37"/>
  <c r="E16" i="37"/>
  <c r="E15" i="37"/>
  <c r="E13" i="37"/>
  <c r="E12" i="37"/>
  <c r="E11" i="37"/>
  <c r="AF16" i="30"/>
  <c r="E10" i="37"/>
  <c r="E7" i="37"/>
  <c r="E6" i="37"/>
  <c r="E5" i="37"/>
  <c r="C20" i="37"/>
  <c r="C19" i="37"/>
  <c r="C18" i="37"/>
  <c r="C17" i="37"/>
  <c r="C16" i="37"/>
  <c r="C15" i="37"/>
  <c r="C14" i="37"/>
  <c r="C13" i="37"/>
  <c r="A11" i="37"/>
  <c r="B9" i="37"/>
  <c r="B8" i="37"/>
  <c r="AG15" i="30"/>
  <c r="AG20" i="30"/>
  <c r="AG16" i="30"/>
  <c r="AK12" i="30"/>
  <c r="AK13" i="30"/>
  <c r="AK14" i="30"/>
  <c r="AK15" i="30"/>
  <c r="AK16" i="30"/>
  <c r="AK17" i="30"/>
  <c r="AK18" i="30"/>
  <c r="AK19" i="30"/>
  <c r="AK20" i="30"/>
  <c r="AK11" i="30"/>
  <c r="A12" i="37"/>
  <c r="E24" i="37"/>
  <c r="E8" i="37"/>
  <c r="E32" i="37" s="1"/>
  <c r="C20" i="36"/>
  <c r="E28" i="36"/>
  <c r="E26" i="36"/>
  <c r="E19" i="36"/>
  <c r="E18" i="36"/>
  <c r="AI12" i="29"/>
  <c r="AI13" i="29"/>
  <c r="AI14" i="29"/>
  <c r="AI15" i="29"/>
  <c r="AI16" i="29"/>
  <c r="AI17" i="29"/>
  <c r="AI18" i="29"/>
  <c r="AI11" i="29"/>
  <c r="E17" i="36"/>
  <c r="E12" i="36"/>
  <c r="E11" i="36"/>
  <c r="E10" i="36"/>
  <c r="E7" i="36"/>
  <c r="E6" i="36"/>
  <c r="E5" i="36"/>
  <c r="E28" i="19"/>
  <c r="E26" i="19"/>
  <c r="E19" i="19"/>
  <c r="E18" i="19"/>
  <c r="E17" i="19"/>
  <c r="E16" i="19"/>
  <c r="E15" i="19"/>
  <c r="E14" i="19"/>
  <c r="E12" i="19"/>
  <c r="E11" i="19"/>
  <c r="E10" i="19"/>
  <c r="E7" i="19"/>
  <c r="E6" i="19"/>
  <c r="E5" i="19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11" i="6"/>
  <c r="C13" i="36"/>
  <c r="B25" i="36"/>
  <c r="C19" i="36"/>
  <c r="C18" i="36"/>
  <c r="C17" i="36"/>
  <c r="C16" i="36"/>
  <c r="C15" i="36"/>
  <c r="A12" i="36"/>
  <c r="A11" i="36"/>
  <c r="B9" i="36"/>
  <c r="B8" i="36"/>
  <c r="C19" i="19"/>
  <c r="C18" i="19"/>
  <c r="C17" i="19"/>
  <c r="C16" i="19"/>
  <c r="C15" i="19"/>
  <c r="C13" i="19"/>
  <c r="AR18" i="32"/>
  <c r="AS18" i="32" s="1"/>
  <c r="AR17" i="32"/>
  <c r="AS17" i="32" s="1"/>
  <c r="Y12" i="34"/>
  <c r="Y13" i="34"/>
  <c r="Y14" i="34"/>
  <c r="Y15" i="34"/>
  <c r="Y16" i="34"/>
  <c r="Y17" i="34"/>
  <c r="Y11" i="34"/>
  <c r="U15" i="34"/>
  <c r="U16" i="34"/>
  <c r="U17" i="34"/>
  <c r="K17" i="34"/>
  <c r="H17" i="34"/>
  <c r="F17" i="34"/>
  <c r="D17" i="34"/>
  <c r="K16" i="34"/>
  <c r="H16" i="34"/>
  <c r="F16" i="34"/>
  <c r="D16" i="34"/>
  <c r="K15" i="34"/>
  <c r="H15" i="34"/>
  <c r="F15" i="34"/>
  <c r="D15" i="34"/>
  <c r="Z17" i="34"/>
  <c r="Z16" i="34"/>
  <c r="Z15" i="34"/>
  <c r="AA15" i="34"/>
  <c r="AA16" i="34"/>
  <c r="AA17" i="34"/>
  <c r="E24" i="39" l="1"/>
  <c r="E8" i="39"/>
  <c r="E32" i="39" s="1"/>
  <c r="AI14" i="31"/>
  <c r="AJ14" i="31"/>
  <c r="AI15" i="31"/>
  <c r="AJ15" i="31"/>
  <c r="AI16" i="31"/>
  <c r="AJ16" i="31"/>
  <c r="AI17" i="31"/>
  <c r="AJ17" i="31"/>
  <c r="AI18" i="31"/>
  <c r="AJ18" i="31"/>
  <c r="X14" i="31"/>
  <c r="X15" i="31"/>
  <c r="X16" i="31"/>
  <c r="X17" i="31"/>
  <c r="X18" i="31"/>
  <c r="X12" i="30"/>
  <c r="X13" i="30"/>
  <c r="X14" i="30"/>
  <c r="X15" i="30"/>
  <c r="X16" i="30"/>
  <c r="X17" i="30"/>
  <c r="X18" i="30"/>
  <c r="X19" i="30"/>
  <c r="X20" i="30"/>
  <c r="X11" i="30"/>
  <c r="AG17" i="30"/>
  <c r="AG18" i="30"/>
  <c r="AG19" i="30"/>
  <c r="AG11" i="30"/>
  <c r="AG12" i="30"/>
  <c r="AG13" i="30"/>
  <c r="AG14" i="30"/>
  <c r="B5" i="35"/>
  <c r="U14" i="34"/>
  <c r="K14" i="34"/>
  <c r="H14" i="34"/>
  <c r="F14" i="34"/>
  <c r="D14" i="34"/>
  <c r="Z14" i="34"/>
  <c r="U13" i="34"/>
  <c r="AA13" i="34"/>
  <c r="Z13" i="34"/>
  <c r="AA12" i="34"/>
  <c r="U12" i="34"/>
  <c r="Z12" i="34"/>
  <c r="U11" i="34"/>
  <c r="W11" i="34"/>
  <c r="AA11" i="34" s="1"/>
  <c r="Z11" i="34"/>
  <c r="B5" i="34"/>
  <c r="AF20" i="30"/>
  <c r="AG17" i="29"/>
  <c r="AH17" i="29"/>
  <c r="AG18" i="29"/>
  <c r="AH18" i="29"/>
  <c r="AW17" i="32"/>
  <c r="W12" i="32"/>
  <c r="X12" i="32" s="1"/>
  <c r="W13" i="32"/>
  <c r="X13" i="32" s="1"/>
  <c r="W14" i="32"/>
  <c r="X14" i="32" s="1"/>
  <c r="W15" i="32"/>
  <c r="X15" i="32" s="1"/>
  <c r="W16" i="32"/>
  <c r="X16" i="32" s="1"/>
  <c r="W17" i="32"/>
  <c r="X17" i="32" s="1"/>
  <c r="W18" i="32"/>
  <c r="X18" i="32" s="1"/>
  <c r="W11" i="32"/>
  <c r="X11" i="32" s="1"/>
  <c r="T12" i="32"/>
  <c r="T13" i="32"/>
  <c r="T14" i="32"/>
  <c r="T15" i="32"/>
  <c r="T16" i="32"/>
  <c r="T17" i="32"/>
  <c r="T18" i="32"/>
  <c r="T11" i="32"/>
  <c r="Q12" i="32"/>
  <c r="Q13" i="32"/>
  <c r="Q14" i="32"/>
  <c r="Q15" i="32"/>
  <c r="Q16" i="32"/>
  <c r="Q17" i="32"/>
  <c r="Q18" i="32"/>
  <c r="Q11" i="32"/>
  <c r="Y17" i="32"/>
  <c r="Y18" i="32"/>
  <c r="Q19" i="32"/>
  <c r="K18" i="32"/>
  <c r="H18" i="32"/>
  <c r="F18" i="32"/>
  <c r="AN18" i="32" s="1"/>
  <c r="D18" i="32"/>
  <c r="K17" i="32"/>
  <c r="H17" i="32"/>
  <c r="F17" i="32"/>
  <c r="AN17" i="32" s="1"/>
  <c r="D17" i="32"/>
  <c r="K16" i="32"/>
  <c r="H16" i="32"/>
  <c r="F16" i="32"/>
  <c r="D16" i="32"/>
  <c r="K15" i="32"/>
  <c r="AJ15" i="32" s="1"/>
  <c r="H15" i="32"/>
  <c r="AI15" i="32" s="1"/>
  <c r="F15" i="32"/>
  <c r="D15" i="32"/>
  <c r="C17" i="32"/>
  <c r="C18" i="32"/>
  <c r="B17" i="32"/>
  <c r="AX17" i="32" s="1"/>
  <c r="B18" i="32"/>
  <c r="AX18" i="32" s="1"/>
  <c r="C12" i="32"/>
  <c r="C13" i="32"/>
  <c r="C14" i="32"/>
  <c r="C15" i="32"/>
  <c r="C16" i="32"/>
  <c r="C11" i="32"/>
  <c r="C12" i="31"/>
  <c r="C13" i="31"/>
  <c r="C11" i="31"/>
  <c r="C12" i="30"/>
  <c r="C13" i="30"/>
  <c r="C14" i="30"/>
  <c r="C15" i="30"/>
  <c r="C16" i="30"/>
  <c r="C17" i="30"/>
  <c r="C18" i="30"/>
  <c r="C19" i="30"/>
  <c r="C20" i="30"/>
  <c r="C11" i="30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11" i="6"/>
  <c r="C12" i="29"/>
  <c r="C13" i="29"/>
  <c r="C14" i="29"/>
  <c r="C15" i="29"/>
  <c r="C16" i="29"/>
  <c r="C17" i="29"/>
  <c r="C18" i="29"/>
  <c r="C19" i="29"/>
  <c r="C11" i="29"/>
  <c r="B12" i="32"/>
  <c r="B13" i="32"/>
  <c r="B14" i="32"/>
  <c r="B15" i="32"/>
  <c r="AX15" i="32" s="1"/>
  <c r="B16" i="32"/>
  <c r="AX16" i="32" s="1"/>
  <c r="B11" i="32"/>
  <c r="B9" i="39" s="1"/>
  <c r="R19" i="32"/>
  <c r="AR16" i="32"/>
  <c r="AF16" i="32"/>
  <c r="AN16" i="32" s="1"/>
  <c r="AR15" i="32"/>
  <c r="AF15" i="32"/>
  <c r="AN15" i="32" s="1"/>
  <c r="D9" i="43" s="1"/>
  <c r="AR14" i="32"/>
  <c r="AF14" i="32"/>
  <c r="K14" i="32"/>
  <c r="AJ14" i="32" s="1"/>
  <c r="H14" i="32"/>
  <c r="AI14" i="32" s="1"/>
  <c r="F14" i="32"/>
  <c r="D14" i="32"/>
  <c r="AX14" i="32"/>
  <c r="AR13" i="32"/>
  <c r="AF13" i="32"/>
  <c r="K13" i="32"/>
  <c r="AJ13" i="32" s="1"/>
  <c r="H13" i="32"/>
  <c r="AI13" i="32" s="1"/>
  <c r="F13" i="32"/>
  <c r="D13" i="32"/>
  <c r="AX13" i="32"/>
  <c r="AR12" i="32"/>
  <c r="AF12" i="32"/>
  <c r="Y12" i="32"/>
  <c r="C6" i="43" s="1"/>
  <c r="K12" i="32"/>
  <c r="H12" i="32"/>
  <c r="F12" i="32"/>
  <c r="D12" i="32"/>
  <c r="AX12" i="32"/>
  <c r="AF11" i="32"/>
  <c r="Y11" i="32"/>
  <c r="C5" i="43" s="1"/>
  <c r="K11" i="32"/>
  <c r="AJ11" i="32" s="1"/>
  <c r="H11" i="32"/>
  <c r="AI11" i="32" s="1"/>
  <c r="F11" i="32"/>
  <c r="D11" i="32"/>
  <c r="AX11" i="32"/>
  <c r="B5" i="32"/>
  <c r="B25" i="39" s="1"/>
  <c r="AG3" i="32"/>
  <c r="W12" i="31"/>
  <c r="X12" i="31" s="1"/>
  <c r="W13" i="31"/>
  <c r="X13" i="31" s="1"/>
  <c r="W11" i="31"/>
  <c r="X11" i="31" s="1"/>
  <c r="T12" i="31"/>
  <c r="T13" i="31"/>
  <c r="T14" i="31"/>
  <c r="T15" i="31"/>
  <c r="T16" i="31"/>
  <c r="T17" i="31"/>
  <c r="T18" i="31"/>
  <c r="T11" i="31"/>
  <c r="R14" i="31"/>
  <c r="R15" i="31"/>
  <c r="R16" i="31"/>
  <c r="Q12" i="31"/>
  <c r="Q13" i="31"/>
  <c r="Q14" i="31"/>
  <c r="Q15" i="31"/>
  <c r="Q16" i="31"/>
  <c r="Q11" i="31"/>
  <c r="B12" i="31"/>
  <c r="AX12" i="31" s="1"/>
  <c r="B13" i="31"/>
  <c r="AX13" i="31" s="1"/>
  <c r="B11" i="31"/>
  <c r="R20" i="31"/>
  <c r="B20" i="31"/>
  <c r="AR18" i="31"/>
  <c r="AS18" i="31" s="1"/>
  <c r="AF18" i="31"/>
  <c r="AN18" i="31" s="1"/>
  <c r="D12" i="42" s="1"/>
  <c r="AO18" i="31"/>
  <c r="R18" i="31"/>
  <c r="AR17" i="31"/>
  <c r="AS17" i="31" s="1"/>
  <c r="AF17" i="31"/>
  <c r="AN17" i="31" s="1"/>
  <c r="D11" i="42" s="1"/>
  <c r="AO17" i="31"/>
  <c r="R17" i="31"/>
  <c r="AR16" i="31"/>
  <c r="AS16" i="31" s="1"/>
  <c r="AF16" i="31"/>
  <c r="AR15" i="31"/>
  <c r="AS15" i="31" s="1"/>
  <c r="AF15" i="31"/>
  <c r="AR14" i="31"/>
  <c r="AS14" i="31" s="1"/>
  <c r="AF14" i="31"/>
  <c r="AR13" i="31"/>
  <c r="AS13" i="31" s="1"/>
  <c r="AF13" i="31"/>
  <c r="Y13" i="31"/>
  <c r="C7" i="42" s="1"/>
  <c r="K13" i="31"/>
  <c r="AJ13" i="31" s="1"/>
  <c r="H13" i="31"/>
  <c r="AI13" i="31" s="1"/>
  <c r="F13" i="31"/>
  <c r="D13" i="31"/>
  <c r="AR12" i="31"/>
  <c r="AS12" i="31" s="1"/>
  <c r="AF12" i="31"/>
  <c r="Y12" i="31"/>
  <c r="C6" i="42" s="1"/>
  <c r="K12" i="31"/>
  <c r="AJ12" i="31" s="1"/>
  <c r="H12" i="31"/>
  <c r="AI12" i="31" s="1"/>
  <c r="F12" i="31"/>
  <c r="D12" i="31"/>
  <c r="AR11" i="31"/>
  <c r="AS11" i="31" s="1"/>
  <c r="AF11" i="31"/>
  <c r="Y11" i="31"/>
  <c r="C5" i="42" s="1"/>
  <c r="K11" i="31"/>
  <c r="AJ11" i="31" s="1"/>
  <c r="H11" i="31"/>
  <c r="AI11" i="31" s="1"/>
  <c r="F11" i="31"/>
  <c r="D11" i="31"/>
  <c r="AX11" i="31"/>
  <c r="B5" i="31"/>
  <c r="B25" i="38" s="1"/>
  <c r="AG3" i="31"/>
  <c r="W12" i="30"/>
  <c r="W13" i="30"/>
  <c r="W14" i="30"/>
  <c r="W15" i="30"/>
  <c r="W16" i="30"/>
  <c r="W17" i="30"/>
  <c r="W18" i="30"/>
  <c r="W19" i="30"/>
  <c r="W20" i="30"/>
  <c r="W11" i="30"/>
  <c r="T12" i="30"/>
  <c r="T13" i="30"/>
  <c r="T14" i="30"/>
  <c r="T15" i="30"/>
  <c r="T16" i="30"/>
  <c r="T17" i="30"/>
  <c r="T18" i="30"/>
  <c r="T19" i="30"/>
  <c r="T20" i="30"/>
  <c r="T11" i="30"/>
  <c r="Q12" i="30"/>
  <c r="Q13" i="30"/>
  <c r="Q14" i="30"/>
  <c r="Q15" i="30"/>
  <c r="Q16" i="30"/>
  <c r="Q17" i="30"/>
  <c r="Q18" i="30"/>
  <c r="Q19" i="30"/>
  <c r="Q20" i="30"/>
  <c r="Q11" i="30"/>
  <c r="B12" i="30"/>
  <c r="B13" i="30"/>
  <c r="B14" i="30"/>
  <c r="B15" i="30"/>
  <c r="B16" i="30"/>
  <c r="B17" i="30"/>
  <c r="B18" i="30"/>
  <c r="B19" i="30"/>
  <c r="B20" i="30"/>
  <c r="B11" i="30"/>
  <c r="R25" i="30"/>
  <c r="B25" i="30"/>
  <c r="AR20" i="30"/>
  <c r="AS20" i="30" s="1"/>
  <c r="Y20" i="30"/>
  <c r="C14" i="41" s="1"/>
  <c r="K20" i="30"/>
  <c r="H20" i="30"/>
  <c r="F20" i="30"/>
  <c r="D20" i="30"/>
  <c r="AX20" i="30"/>
  <c r="AR19" i="30"/>
  <c r="AS19" i="30" s="1"/>
  <c r="AF19" i="30"/>
  <c r="Y19" i="30"/>
  <c r="C13" i="41" s="1"/>
  <c r="K19" i="30"/>
  <c r="H19" i="30"/>
  <c r="F19" i="30"/>
  <c r="D19" i="30"/>
  <c r="AX19" i="30"/>
  <c r="AR18" i="30"/>
  <c r="AS18" i="30" s="1"/>
  <c r="AF18" i="30"/>
  <c r="Y18" i="30"/>
  <c r="C12" i="41" s="1"/>
  <c r="K18" i="30"/>
  <c r="H18" i="30"/>
  <c r="F18" i="30"/>
  <c r="D18" i="30"/>
  <c r="AX18" i="30"/>
  <c r="AR17" i="30"/>
  <c r="AS17" i="30" s="1"/>
  <c r="AF17" i="30"/>
  <c r="Y17" i="30"/>
  <c r="C11" i="41" s="1"/>
  <c r="K17" i="30"/>
  <c r="H17" i="30"/>
  <c r="F17" i="30"/>
  <c r="D17" i="30"/>
  <c r="AX17" i="30"/>
  <c r="AR16" i="30"/>
  <c r="AS16" i="30" s="1"/>
  <c r="Y16" i="30"/>
  <c r="C10" i="41" s="1"/>
  <c r="K16" i="30"/>
  <c r="H16" i="30"/>
  <c r="F16" i="30"/>
  <c r="D16" i="30"/>
  <c r="AX16" i="30"/>
  <c r="AR15" i="30"/>
  <c r="AS15" i="30" s="1"/>
  <c r="AF15" i="30"/>
  <c r="Y15" i="30"/>
  <c r="C9" i="41" s="1"/>
  <c r="K15" i="30"/>
  <c r="H15" i="30"/>
  <c r="F15" i="30"/>
  <c r="D15" i="30"/>
  <c r="AX15" i="30"/>
  <c r="AR14" i="30"/>
  <c r="AS14" i="30" s="1"/>
  <c r="AF14" i="30"/>
  <c r="Y14" i="30"/>
  <c r="C8" i="41" s="1"/>
  <c r="K14" i="30"/>
  <c r="H14" i="30"/>
  <c r="F14" i="30"/>
  <c r="D14" i="30"/>
  <c r="AX14" i="30"/>
  <c r="AR13" i="30"/>
  <c r="AS13" i="30" s="1"/>
  <c r="AF13" i="30"/>
  <c r="Y13" i="30"/>
  <c r="C7" i="41" s="1"/>
  <c r="K13" i="30"/>
  <c r="H13" i="30"/>
  <c r="F13" i="30"/>
  <c r="D13" i="30"/>
  <c r="AX13" i="30"/>
  <c r="AR12" i="30"/>
  <c r="AS12" i="30" s="1"/>
  <c r="AF12" i="30"/>
  <c r="Y12" i="30"/>
  <c r="C6" i="41" s="1"/>
  <c r="K12" i="30"/>
  <c r="H12" i="30"/>
  <c r="F12" i="30"/>
  <c r="D12" i="30"/>
  <c r="AX12" i="30"/>
  <c r="AR11" i="30"/>
  <c r="AS11" i="30" s="1"/>
  <c r="AF11" i="30"/>
  <c r="Y11" i="30"/>
  <c r="C5" i="41" s="1"/>
  <c r="K11" i="30"/>
  <c r="H11" i="30"/>
  <c r="F11" i="30"/>
  <c r="D11" i="30"/>
  <c r="AX11" i="30"/>
  <c r="B5" i="30"/>
  <c r="AG3" i="30"/>
  <c r="V12" i="29"/>
  <c r="W12" i="29" s="1"/>
  <c r="V13" i="29"/>
  <c r="W13" i="29" s="1"/>
  <c r="V14" i="29"/>
  <c r="W14" i="29" s="1"/>
  <c r="V15" i="29"/>
  <c r="W15" i="29" s="1"/>
  <c r="V16" i="29"/>
  <c r="W16" i="29" s="1"/>
  <c r="V11" i="29"/>
  <c r="W11" i="29" s="1"/>
  <c r="S12" i="29"/>
  <c r="S13" i="29"/>
  <c r="S14" i="29"/>
  <c r="S15" i="29"/>
  <c r="S16" i="29"/>
  <c r="S11" i="29"/>
  <c r="Q17" i="29"/>
  <c r="Q18" i="29"/>
  <c r="P12" i="29"/>
  <c r="P13" i="29"/>
  <c r="P14" i="29"/>
  <c r="P15" i="29"/>
  <c r="P16" i="29"/>
  <c r="P17" i="29"/>
  <c r="P18" i="29"/>
  <c r="P11" i="29"/>
  <c r="B12" i="29"/>
  <c r="B13" i="29"/>
  <c r="B14" i="29"/>
  <c r="B15" i="29"/>
  <c r="B16" i="29"/>
  <c r="B17" i="29"/>
  <c r="B18" i="29"/>
  <c r="B11" i="29"/>
  <c r="Q20" i="29"/>
  <c r="B20" i="29"/>
  <c r="AP18" i="29"/>
  <c r="AQ18" i="29" s="1"/>
  <c r="AE18" i="29"/>
  <c r="AL18" i="29" s="1"/>
  <c r="AV18" i="29"/>
  <c r="AP17" i="29"/>
  <c r="AQ17" i="29" s="1"/>
  <c r="AE17" i="29"/>
  <c r="AL17" i="29" s="1"/>
  <c r="D11" i="22" s="1"/>
  <c r="AV17" i="29"/>
  <c r="AP16" i="29"/>
  <c r="AQ16" i="29" s="1"/>
  <c r="AE16" i="29"/>
  <c r="X16" i="29"/>
  <c r="C10" i="22" s="1"/>
  <c r="K16" i="29"/>
  <c r="AH16" i="29" s="1"/>
  <c r="H16" i="29"/>
  <c r="AG16" i="29" s="1"/>
  <c r="F16" i="29"/>
  <c r="D16" i="29"/>
  <c r="AV16" i="29"/>
  <c r="AP15" i="29"/>
  <c r="AQ15" i="29" s="1"/>
  <c r="AE15" i="29"/>
  <c r="X15" i="29"/>
  <c r="C9" i="22" s="1"/>
  <c r="K15" i="29"/>
  <c r="AH15" i="29" s="1"/>
  <c r="H15" i="29"/>
  <c r="AG15" i="29" s="1"/>
  <c r="F15" i="29"/>
  <c r="D15" i="29"/>
  <c r="AV15" i="29"/>
  <c r="AP14" i="29"/>
  <c r="AQ14" i="29" s="1"/>
  <c r="AE14" i="29"/>
  <c r="X14" i="29"/>
  <c r="C8" i="22" s="1"/>
  <c r="K14" i="29"/>
  <c r="AH14" i="29" s="1"/>
  <c r="H14" i="29"/>
  <c r="AG14" i="29" s="1"/>
  <c r="F14" i="29"/>
  <c r="D14" i="29"/>
  <c r="AV14" i="29"/>
  <c r="AP13" i="29"/>
  <c r="AQ13" i="29" s="1"/>
  <c r="AE13" i="29"/>
  <c r="X13" i="29"/>
  <c r="C7" i="22" s="1"/>
  <c r="K13" i="29"/>
  <c r="AH13" i="29" s="1"/>
  <c r="H13" i="29"/>
  <c r="AG13" i="29" s="1"/>
  <c r="F13" i="29"/>
  <c r="D13" i="29"/>
  <c r="AV13" i="29"/>
  <c r="AP12" i="29"/>
  <c r="AQ12" i="29" s="1"/>
  <c r="AE12" i="29"/>
  <c r="X12" i="29"/>
  <c r="C6" i="22" s="1"/>
  <c r="K12" i="29"/>
  <c r="AH12" i="29" s="1"/>
  <c r="H12" i="29"/>
  <c r="AG12" i="29" s="1"/>
  <c r="F12" i="29"/>
  <c r="D12" i="29"/>
  <c r="AV12" i="29"/>
  <c r="AP11" i="29"/>
  <c r="AQ11" i="29" s="1"/>
  <c r="AE11" i="29"/>
  <c r="X11" i="29"/>
  <c r="C5" i="22" s="1"/>
  <c r="K11" i="29"/>
  <c r="AH11" i="29" s="1"/>
  <c r="E15" i="36" s="1"/>
  <c r="H11" i="29"/>
  <c r="AG11" i="29" s="1"/>
  <c r="E14" i="36" s="1"/>
  <c r="F11" i="29"/>
  <c r="D11" i="29"/>
  <c r="AV11" i="29"/>
  <c r="B5" i="29"/>
  <c r="E18" i="28"/>
  <c r="E17" i="28"/>
  <c r="E16" i="28"/>
  <c r="E15" i="28"/>
  <c r="E14" i="28"/>
  <c r="E13" i="28"/>
  <c r="E12" i="28"/>
  <c r="E11" i="28"/>
  <c r="E10" i="28"/>
  <c r="E9" i="28"/>
  <c r="E8" i="28"/>
  <c r="E10" i="27"/>
  <c r="E9" i="27"/>
  <c r="E8" i="27"/>
  <c r="E17" i="26"/>
  <c r="E16" i="26"/>
  <c r="E15" i="26"/>
  <c r="E14" i="26"/>
  <c r="E13" i="26"/>
  <c r="E12" i="26"/>
  <c r="E11" i="26"/>
  <c r="E10" i="26"/>
  <c r="E9" i="26"/>
  <c r="E8" i="26"/>
  <c r="E13" i="25"/>
  <c r="E12" i="25"/>
  <c r="E11" i="25"/>
  <c r="E10" i="25"/>
  <c r="E9" i="25"/>
  <c r="E8" i="25"/>
  <c r="AP17" i="31" l="1"/>
  <c r="AW17" i="31"/>
  <c r="AP18" i="31"/>
  <c r="AW18" i="31"/>
  <c r="E27" i="36"/>
  <c r="E27" i="37"/>
  <c r="E27" i="38"/>
  <c r="AS12" i="32"/>
  <c r="AS13" i="32"/>
  <c r="AS14" i="32"/>
  <c r="AS15" i="32"/>
  <c r="AS16" i="32"/>
  <c r="AW16" i="32" s="1"/>
  <c r="C14" i="39"/>
  <c r="B25" i="37"/>
  <c r="E16" i="36"/>
  <c r="C14" i="36"/>
  <c r="AA14" i="34"/>
  <c r="AA18" i="34" s="1"/>
  <c r="C12" i="33" s="1"/>
  <c r="AL12" i="29"/>
  <c r="D6" i="22" s="1"/>
  <c r="AL13" i="29"/>
  <c r="D7" i="22" s="1"/>
  <c r="AL14" i="29"/>
  <c r="D8" i="22" s="1"/>
  <c r="AL15" i="29"/>
  <c r="D9" i="22" s="1"/>
  <c r="AL16" i="29"/>
  <c r="D10" i="22" s="1"/>
  <c r="AL11" i="29"/>
  <c r="D5" i="22" s="1"/>
  <c r="AO18" i="32"/>
  <c r="AY18" i="32" s="1"/>
  <c r="AO17" i="32"/>
  <c r="AY17" i="32" s="1"/>
  <c r="Y15" i="32"/>
  <c r="Y16" i="32"/>
  <c r="AO16" i="32" s="1"/>
  <c r="AY16" i="32" s="1"/>
  <c r="AN11" i="32"/>
  <c r="AN12" i="32"/>
  <c r="AO12" i="32" s="1"/>
  <c r="AN13" i="32"/>
  <c r="AN14" i="32"/>
  <c r="AN11" i="31"/>
  <c r="AN12" i="31"/>
  <c r="AN13" i="31"/>
  <c r="AN14" i="31"/>
  <c r="AN15" i="31"/>
  <c r="AN16" i="31"/>
  <c r="AN11" i="30"/>
  <c r="AN12" i="30"/>
  <c r="AN13" i="30"/>
  <c r="AN14" i="30"/>
  <c r="AN15" i="30"/>
  <c r="AN16" i="30"/>
  <c r="AN17" i="30"/>
  <c r="AN18" i="30"/>
  <c r="AN19" i="30"/>
  <c r="AN20" i="30"/>
  <c r="AM11" i="29"/>
  <c r="AM12" i="29"/>
  <c r="AM13" i="29"/>
  <c r="AM14" i="29"/>
  <c r="AM15" i="29"/>
  <c r="AM16" i="29"/>
  <c r="AM17" i="29"/>
  <c r="AM18" i="29"/>
  <c r="N8" i="28"/>
  <c r="F8" i="28"/>
  <c r="N9" i="28"/>
  <c r="F9" i="28"/>
  <c r="N10" i="28"/>
  <c r="F10" i="28"/>
  <c r="N11" i="28"/>
  <c r="F11" i="28"/>
  <c r="N12" i="28"/>
  <c r="F12" i="28"/>
  <c r="N13" i="28"/>
  <c r="F13" i="28"/>
  <c r="N14" i="28"/>
  <c r="F14" i="28"/>
  <c r="N15" i="28"/>
  <c r="F15" i="28"/>
  <c r="N16" i="28"/>
  <c r="F16" i="28"/>
  <c r="N17" i="28"/>
  <c r="F17" i="28"/>
  <c r="N18" i="28"/>
  <c r="F18" i="28"/>
  <c r="N8" i="27"/>
  <c r="F8" i="27"/>
  <c r="R11" i="31" s="1"/>
  <c r="N9" i="27"/>
  <c r="F9" i="27"/>
  <c r="R12" i="31" s="1"/>
  <c r="N10" i="27"/>
  <c r="F10" i="27"/>
  <c r="R13" i="31" s="1"/>
  <c r="N8" i="26"/>
  <c r="F8" i="26"/>
  <c r="N9" i="26"/>
  <c r="F9" i="26"/>
  <c r="N10" i="26"/>
  <c r="F10" i="26"/>
  <c r="N11" i="26"/>
  <c r="F11" i="26"/>
  <c r="N12" i="26"/>
  <c r="F12" i="26"/>
  <c r="N13" i="26"/>
  <c r="F13" i="26"/>
  <c r="N14" i="26"/>
  <c r="F14" i="26"/>
  <c r="N15" i="26"/>
  <c r="F15" i="26"/>
  <c r="N16" i="26"/>
  <c r="F16" i="26"/>
  <c r="N17" i="26"/>
  <c r="F17" i="26"/>
  <c r="N8" i="25"/>
  <c r="F8" i="25"/>
  <c r="N9" i="25"/>
  <c r="F9" i="25"/>
  <c r="N10" i="25"/>
  <c r="F10" i="25"/>
  <c r="N11" i="25"/>
  <c r="F11" i="25"/>
  <c r="N12" i="25"/>
  <c r="F12" i="25"/>
  <c r="N13" i="25"/>
  <c r="F13" i="25"/>
  <c r="AO14" i="32" l="1"/>
  <c r="D8" i="43"/>
  <c r="AO13" i="32"/>
  <c r="D7" i="43"/>
  <c r="AO11" i="32"/>
  <c r="AP11" i="32" s="1"/>
  <c r="AW11" i="32" s="1"/>
  <c r="E5" i="43" s="1"/>
  <c r="D5" i="43"/>
  <c r="AO16" i="31"/>
  <c r="D10" i="42"/>
  <c r="AO15" i="31"/>
  <c r="D9" i="42"/>
  <c r="AO14" i="31"/>
  <c r="D8" i="42"/>
  <c r="AO13" i="31"/>
  <c r="D7" i="42"/>
  <c r="AO12" i="31"/>
  <c r="D6" i="42"/>
  <c r="E12" i="42"/>
  <c r="AY18" i="31"/>
  <c r="F12" i="42" s="1"/>
  <c r="E11" i="42"/>
  <c r="AY17" i="31"/>
  <c r="F11" i="42" s="1"/>
  <c r="AO11" i="31"/>
  <c r="D5" i="42"/>
  <c r="AO20" i="30"/>
  <c r="D14" i="41"/>
  <c r="AO17" i="30"/>
  <c r="D11" i="41"/>
  <c r="AO12" i="30"/>
  <c r="D6" i="41"/>
  <c r="AO11" i="30"/>
  <c r="D5" i="41"/>
  <c r="AN18" i="29"/>
  <c r="AU18" i="29" s="1"/>
  <c r="AW18" i="29" s="1"/>
  <c r="AN17" i="29"/>
  <c r="AU17" i="29" s="1"/>
  <c r="AO19" i="30"/>
  <c r="D13" i="41"/>
  <c r="AO18" i="30"/>
  <c r="D12" i="41"/>
  <c r="AO16" i="30"/>
  <c r="D10" i="41"/>
  <c r="AO15" i="30"/>
  <c r="D9" i="41"/>
  <c r="AO14" i="30"/>
  <c r="D8" i="41"/>
  <c r="AO13" i="30"/>
  <c r="D7" i="41"/>
  <c r="AO15" i="32"/>
  <c r="C9" i="43"/>
  <c r="AP14" i="32"/>
  <c r="AW14" i="32"/>
  <c r="AP13" i="32"/>
  <c r="AW13" i="32"/>
  <c r="AP12" i="32"/>
  <c r="E29" i="39" s="1"/>
  <c r="E30" i="39" s="1"/>
  <c r="E33" i="39" s="1"/>
  <c r="E34" i="39" s="1"/>
  <c r="AW12" i="32"/>
  <c r="AP13" i="31"/>
  <c r="AW13" i="31" s="1"/>
  <c r="AP12" i="31"/>
  <c r="AW12" i="31" s="1"/>
  <c r="AP11" i="31"/>
  <c r="AP20" i="30"/>
  <c r="AW20" i="30" s="1"/>
  <c r="AP19" i="30"/>
  <c r="AW19" i="30" s="1"/>
  <c r="AP18" i="30"/>
  <c r="AW18" i="30" s="1"/>
  <c r="AP16" i="30"/>
  <c r="AW16" i="30" s="1"/>
  <c r="AP15" i="30"/>
  <c r="AW15" i="30" s="1"/>
  <c r="AP14" i="30"/>
  <c r="AW14" i="30" s="1"/>
  <c r="AP17" i="30"/>
  <c r="AW17" i="30" s="1"/>
  <c r="AP13" i="30"/>
  <c r="AW13" i="30" s="1"/>
  <c r="AP12" i="30"/>
  <c r="AW12" i="30" s="1"/>
  <c r="AP11" i="30"/>
  <c r="AN16" i="29"/>
  <c r="AU16" i="29" s="1"/>
  <c r="AN15" i="29"/>
  <c r="AU15" i="29" s="1"/>
  <c r="AN14" i="29"/>
  <c r="AU14" i="29" s="1"/>
  <c r="AN13" i="29"/>
  <c r="AU13" i="29" s="1"/>
  <c r="AN12" i="29"/>
  <c r="AU12" i="29" s="1"/>
  <c r="AN11" i="29"/>
  <c r="AY11" i="32"/>
  <c r="F5" i="43" s="1"/>
  <c r="R18" i="32"/>
  <c r="R17" i="32"/>
  <c r="R16" i="32"/>
  <c r="R15" i="32"/>
  <c r="R14" i="32"/>
  <c r="R13" i="32"/>
  <c r="R12" i="32"/>
  <c r="R11" i="32"/>
  <c r="R20" i="30"/>
  <c r="R19" i="30"/>
  <c r="R18" i="30"/>
  <c r="R17" i="30"/>
  <c r="R16" i="30"/>
  <c r="R15" i="30"/>
  <c r="R14" i="30"/>
  <c r="R13" i="30"/>
  <c r="R12" i="30"/>
  <c r="R11" i="30"/>
  <c r="Q16" i="29"/>
  <c r="Q15" i="29"/>
  <c r="Q14" i="29"/>
  <c r="Q13" i="29"/>
  <c r="Q12" i="29"/>
  <c r="Q11" i="29"/>
  <c r="AP14" i="31" l="1"/>
  <c r="AW14" i="31" s="1"/>
  <c r="AP15" i="31"/>
  <c r="AW15" i="31" s="1"/>
  <c r="AP16" i="31"/>
  <c r="AW16" i="31" s="1"/>
  <c r="E11" i="22"/>
  <c r="AW17" i="29"/>
  <c r="F11" i="22" s="1"/>
  <c r="AP15" i="32"/>
  <c r="AW15" i="32" s="1"/>
  <c r="E8" i="43"/>
  <c r="AY14" i="32"/>
  <c r="F8" i="43" s="1"/>
  <c r="E7" i="43"/>
  <c r="AY13" i="32"/>
  <c r="F7" i="43" s="1"/>
  <c r="E6" i="43"/>
  <c r="AY12" i="32"/>
  <c r="E6" i="42"/>
  <c r="AY12" i="31"/>
  <c r="F6" i="42" s="1"/>
  <c r="E7" i="42"/>
  <c r="AY13" i="31"/>
  <c r="F7" i="42" s="1"/>
  <c r="E29" i="38"/>
  <c r="E30" i="38" s="1"/>
  <c r="E33" i="38" s="1"/>
  <c r="E34" i="38" s="1"/>
  <c r="AW11" i="31"/>
  <c r="E14" i="41"/>
  <c r="AY20" i="30"/>
  <c r="F14" i="41" s="1"/>
  <c r="E13" i="41"/>
  <c r="AY19" i="30"/>
  <c r="F13" i="41" s="1"/>
  <c r="E12" i="41"/>
  <c r="AY18" i="30"/>
  <c r="F12" i="41" s="1"/>
  <c r="E10" i="41"/>
  <c r="AY16" i="30"/>
  <c r="F10" i="41" s="1"/>
  <c r="E9" i="41"/>
  <c r="AY15" i="30"/>
  <c r="F9" i="41" s="1"/>
  <c r="E8" i="41"/>
  <c r="AY14" i="30"/>
  <c r="F8" i="41" s="1"/>
  <c r="E11" i="41"/>
  <c r="AY17" i="30"/>
  <c r="F11" i="41" s="1"/>
  <c r="E7" i="41"/>
  <c r="AY13" i="30"/>
  <c r="F7" i="41" s="1"/>
  <c r="E6" i="41"/>
  <c r="AY12" i="30"/>
  <c r="F6" i="41" s="1"/>
  <c r="E29" i="37"/>
  <c r="E30" i="37" s="1"/>
  <c r="E33" i="37" s="1"/>
  <c r="E34" i="37" s="1"/>
  <c r="AW11" i="30"/>
  <c r="E10" i="22"/>
  <c r="AW16" i="29"/>
  <c r="F10" i="22" s="1"/>
  <c r="E9" i="22"/>
  <c r="AW15" i="29"/>
  <c r="F9" i="22" s="1"/>
  <c r="E8" i="22"/>
  <c r="AW14" i="29"/>
  <c r="F8" i="22" s="1"/>
  <c r="E7" i="22"/>
  <c r="AW13" i="29"/>
  <c r="F7" i="22" s="1"/>
  <c r="E6" i="22"/>
  <c r="AW12" i="29"/>
  <c r="F6" i="22" s="1"/>
  <c r="E29" i="36"/>
  <c r="AU11" i="29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E33" i="6"/>
  <c r="AE34" i="6"/>
  <c r="AE35" i="6"/>
  <c r="AE36" i="6"/>
  <c r="AE37" i="6"/>
  <c r="AE38" i="6"/>
  <c r="AE39" i="6"/>
  <c r="AE40" i="6"/>
  <c r="AE41" i="6"/>
  <c r="AE42" i="6"/>
  <c r="AE43" i="6"/>
  <c r="AE44" i="6"/>
  <c r="AE45" i="6"/>
  <c r="AE46" i="6"/>
  <c r="AP27" i="6"/>
  <c r="AQ27" i="6"/>
  <c r="AP28" i="6"/>
  <c r="AQ28" i="6"/>
  <c r="AP29" i="6"/>
  <c r="AQ29" i="6"/>
  <c r="AP30" i="6"/>
  <c r="AQ30" i="6"/>
  <c r="AP31" i="6"/>
  <c r="AQ31" i="6"/>
  <c r="AP32" i="6"/>
  <c r="AQ32" i="6"/>
  <c r="AP33" i="6"/>
  <c r="AQ33" i="6"/>
  <c r="AP34" i="6"/>
  <c r="AQ34" i="6"/>
  <c r="AP35" i="6"/>
  <c r="AQ35" i="6"/>
  <c r="AP36" i="6"/>
  <c r="AQ36" i="6"/>
  <c r="AP37" i="6"/>
  <c r="AQ37" i="6"/>
  <c r="AP38" i="6"/>
  <c r="AQ38" i="6"/>
  <c r="AP39" i="6"/>
  <c r="AQ39" i="6"/>
  <c r="AP40" i="6"/>
  <c r="AQ40" i="6"/>
  <c r="AP41" i="6"/>
  <c r="AQ41" i="6"/>
  <c r="AP42" i="6"/>
  <c r="AQ42" i="6"/>
  <c r="AP43" i="6"/>
  <c r="AQ43" i="6"/>
  <c r="AP44" i="6"/>
  <c r="AQ44" i="6"/>
  <c r="AP45" i="6"/>
  <c r="AQ45" i="6"/>
  <c r="AP46" i="6"/>
  <c r="AQ46" i="6"/>
  <c r="E10" i="42" l="1"/>
  <c r="AY16" i="31"/>
  <c r="F10" i="42" s="1"/>
  <c r="E9" i="42"/>
  <c r="AY15" i="31"/>
  <c r="F9" i="42" s="1"/>
  <c r="E8" i="42"/>
  <c r="AY14" i="31"/>
  <c r="F8" i="42" s="1"/>
  <c r="E9" i="43"/>
  <c r="AY15" i="32"/>
  <c r="F9" i="43" s="1"/>
  <c r="F6" i="43"/>
  <c r="F14" i="43" s="1"/>
  <c r="C11" i="33" s="1"/>
  <c r="AY19" i="32"/>
  <c r="E5" i="42"/>
  <c r="AY11" i="31"/>
  <c r="E5" i="41"/>
  <c r="AY11" i="30"/>
  <c r="E5" i="22"/>
  <c r="AW11" i="29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11" i="6"/>
  <c r="V12" i="6"/>
  <c r="W12" i="6" s="1"/>
  <c r="V13" i="6"/>
  <c r="W13" i="6" s="1"/>
  <c r="V14" i="6"/>
  <c r="W14" i="6" s="1"/>
  <c r="V15" i="6"/>
  <c r="W15" i="6" s="1"/>
  <c r="V16" i="6"/>
  <c r="W16" i="6" s="1"/>
  <c r="V17" i="6"/>
  <c r="W17" i="6" s="1"/>
  <c r="V18" i="6"/>
  <c r="W18" i="6" s="1"/>
  <c r="V19" i="6"/>
  <c r="W19" i="6" s="1"/>
  <c r="V20" i="6"/>
  <c r="W20" i="6" s="1"/>
  <c r="V21" i="6"/>
  <c r="W21" i="6" s="1"/>
  <c r="V22" i="6"/>
  <c r="W22" i="6" s="1"/>
  <c r="V23" i="6"/>
  <c r="W23" i="6" s="1"/>
  <c r="V24" i="6"/>
  <c r="W24" i="6" s="1"/>
  <c r="V25" i="6"/>
  <c r="W25" i="6" s="1"/>
  <c r="V26" i="6"/>
  <c r="W26" i="6" s="1"/>
  <c r="V27" i="6"/>
  <c r="W27" i="6" s="1"/>
  <c r="V28" i="6"/>
  <c r="W28" i="6" s="1"/>
  <c r="V29" i="6"/>
  <c r="W29" i="6" s="1"/>
  <c r="V30" i="6"/>
  <c r="W30" i="6" s="1"/>
  <c r="V31" i="6"/>
  <c r="W31" i="6" s="1"/>
  <c r="V32" i="6"/>
  <c r="W32" i="6" s="1"/>
  <c r="V33" i="6"/>
  <c r="W33" i="6" s="1"/>
  <c r="V34" i="6"/>
  <c r="W34" i="6" s="1"/>
  <c r="V35" i="6"/>
  <c r="W35" i="6" s="1"/>
  <c r="V36" i="6"/>
  <c r="W36" i="6" s="1"/>
  <c r="V37" i="6"/>
  <c r="W37" i="6" s="1"/>
  <c r="V38" i="6"/>
  <c r="W38" i="6" s="1"/>
  <c r="V39" i="6"/>
  <c r="W39" i="6" s="1"/>
  <c r="V40" i="6"/>
  <c r="W40" i="6" s="1"/>
  <c r="V41" i="6"/>
  <c r="W41" i="6" s="1"/>
  <c r="V42" i="6"/>
  <c r="W42" i="6" s="1"/>
  <c r="V43" i="6"/>
  <c r="W43" i="6" s="1"/>
  <c r="V44" i="6"/>
  <c r="W44" i="6" s="1"/>
  <c r="V45" i="6"/>
  <c r="W45" i="6" s="1"/>
  <c r="V46" i="6"/>
  <c r="W46" i="6" s="1"/>
  <c r="V11" i="6"/>
  <c r="X13" i="6"/>
  <c r="C7" i="40" s="1"/>
  <c r="X14" i="6"/>
  <c r="C8" i="40" s="1"/>
  <c r="X15" i="6"/>
  <c r="C9" i="40" s="1"/>
  <c r="X16" i="6"/>
  <c r="C10" i="40" s="1"/>
  <c r="X17" i="6"/>
  <c r="C11" i="40" s="1"/>
  <c r="X18" i="6"/>
  <c r="X19" i="6"/>
  <c r="X20" i="6"/>
  <c r="X21" i="6"/>
  <c r="X22" i="6"/>
  <c r="X23" i="6"/>
  <c r="X24" i="6"/>
  <c r="C18" i="40" s="1"/>
  <c r="X25" i="6"/>
  <c r="C19" i="40" s="1"/>
  <c r="X26" i="6"/>
  <c r="C20" i="40" s="1"/>
  <c r="X27" i="6"/>
  <c r="C21" i="40" s="1"/>
  <c r="X28" i="6"/>
  <c r="C22" i="40" s="1"/>
  <c r="X29" i="6"/>
  <c r="C23" i="40" s="1"/>
  <c r="X30" i="6"/>
  <c r="C24" i="40" s="1"/>
  <c r="X31" i="6"/>
  <c r="C25" i="40" s="1"/>
  <c r="X32" i="6"/>
  <c r="C26" i="40" s="1"/>
  <c r="X33" i="6"/>
  <c r="C27" i="40" s="1"/>
  <c r="X34" i="6"/>
  <c r="C28" i="40" s="1"/>
  <c r="X35" i="6"/>
  <c r="C29" i="40" s="1"/>
  <c r="X36" i="6"/>
  <c r="C30" i="40" s="1"/>
  <c r="X37" i="6"/>
  <c r="C31" i="40" s="1"/>
  <c r="X38" i="6"/>
  <c r="C32" i="40" s="1"/>
  <c r="X39" i="6"/>
  <c r="C33" i="40" s="1"/>
  <c r="X40" i="6"/>
  <c r="C34" i="40" s="1"/>
  <c r="X41" i="6"/>
  <c r="C35" i="40" s="1"/>
  <c r="X42" i="6"/>
  <c r="C36" i="40" s="1"/>
  <c r="X43" i="6"/>
  <c r="C37" i="40" s="1"/>
  <c r="X44" i="6"/>
  <c r="C38" i="40" s="1"/>
  <c r="X45" i="6"/>
  <c r="C39" i="40" s="1"/>
  <c r="X46" i="6"/>
  <c r="C40" i="40" s="1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11" i="6"/>
  <c r="F12" i="6"/>
  <c r="AF12" i="6" s="1"/>
  <c r="H12" i="6"/>
  <c r="AG12" i="6" s="1"/>
  <c r="K12" i="6"/>
  <c r="AH12" i="6" s="1"/>
  <c r="F13" i="6"/>
  <c r="AF13" i="6" s="1"/>
  <c r="H13" i="6"/>
  <c r="AG13" i="6" s="1"/>
  <c r="K13" i="6"/>
  <c r="AH13" i="6" s="1"/>
  <c r="F14" i="6"/>
  <c r="AF14" i="6" s="1"/>
  <c r="H14" i="6"/>
  <c r="AG14" i="6" s="1"/>
  <c r="K14" i="6"/>
  <c r="AH14" i="6" s="1"/>
  <c r="F15" i="6"/>
  <c r="AF15" i="6" s="1"/>
  <c r="H15" i="6"/>
  <c r="AG15" i="6" s="1"/>
  <c r="K15" i="6"/>
  <c r="AH15" i="6" s="1"/>
  <c r="F16" i="6"/>
  <c r="AF16" i="6" s="1"/>
  <c r="H16" i="6"/>
  <c r="AG16" i="6" s="1"/>
  <c r="K16" i="6"/>
  <c r="AH16" i="6" s="1"/>
  <c r="F17" i="6"/>
  <c r="AF17" i="6" s="1"/>
  <c r="H17" i="6"/>
  <c r="AG17" i="6" s="1"/>
  <c r="K17" i="6"/>
  <c r="AH17" i="6" s="1"/>
  <c r="F18" i="6"/>
  <c r="AF18" i="6" s="1"/>
  <c r="H18" i="6"/>
  <c r="AG18" i="6" s="1"/>
  <c r="K18" i="6"/>
  <c r="AH18" i="6" s="1"/>
  <c r="F19" i="6"/>
  <c r="AF19" i="6" s="1"/>
  <c r="H19" i="6"/>
  <c r="AG19" i="6" s="1"/>
  <c r="K19" i="6"/>
  <c r="AH19" i="6" s="1"/>
  <c r="F20" i="6"/>
  <c r="AF20" i="6" s="1"/>
  <c r="H20" i="6"/>
  <c r="AG20" i="6" s="1"/>
  <c r="K20" i="6"/>
  <c r="AH20" i="6" s="1"/>
  <c r="F21" i="6"/>
  <c r="AF21" i="6" s="1"/>
  <c r="H21" i="6"/>
  <c r="AG21" i="6" s="1"/>
  <c r="K21" i="6"/>
  <c r="AH21" i="6" s="1"/>
  <c r="F22" i="6"/>
  <c r="AF22" i="6" s="1"/>
  <c r="H22" i="6"/>
  <c r="AG22" i="6" s="1"/>
  <c r="K22" i="6"/>
  <c r="AH22" i="6" s="1"/>
  <c r="F23" i="6"/>
  <c r="AF23" i="6" s="1"/>
  <c r="H23" i="6"/>
  <c r="AG23" i="6" s="1"/>
  <c r="K23" i="6"/>
  <c r="AH23" i="6" s="1"/>
  <c r="F24" i="6"/>
  <c r="AF24" i="6" s="1"/>
  <c r="H24" i="6"/>
  <c r="AG24" i="6" s="1"/>
  <c r="K24" i="6"/>
  <c r="AH24" i="6" s="1"/>
  <c r="F25" i="6"/>
  <c r="AF25" i="6" s="1"/>
  <c r="H25" i="6"/>
  <c r="AG25" i="6" s="1"/>
  <c r="K25" i="6"/>
  <c r="AH25" i="6" s="1"/>
  <c r="F26" i="6"/>
  <c r="AF26" i="6" s="1"/>
  <c r="H26" i="6"/>
  <c r="AG26" i="6" s="1"/>
  <c r="K26" i="6"/>
  <c r="AH26" i="6" s="1"/>
  <c r="F27" i="6"/>
  <c r="AF27" i="6" s="1"/>
  <c r="H27" i="6"/>
  <c r="AG27" i="6" s="1"/>
  <c r="K27" i="6"/>
  <c r="AH27" i="6" s="1"/>
  <c r="F28" i="6"/>
  <c r="AF28" i="6" s="1"/>
  <c r="H28" i="6"/>
  <c r="AG28" i="6" s="1"/>
  <c r="K28" i="6"/>
  <c r="AH28" i="6" s="1"/>
  <c r="F29" i="6"/>
  <c r="AF29" i="6" s="1"/>
  <c r="H29" i="6"/>
  <c r="AG29" i="6" s="1"/>
  <c r="K29" i="6"/>
  <c r="AH29" i="6" s="1"/>
  <c r="F30" i="6"/>
  <c r="AF30" i="6" s="1"/>
  <c r="H30" i="6"/>
  <c r="AG30" i="6" s="1"/>
  <c r="K30" i="6"/>
  <c r="AH30" i="6" s="1"/>
  <c r="F31" i="6"/>
  <c r="AF31" i="6" s="1"/>
  <c r="H31" i="6"/>
  <c r="AG31" i="6" s="1"/>
  <c r="K31" i="6"/>
  <c r="AH31" i="6" s="1"/>
  <c r="F32" i="6"/>
  <c r="AF32" i="6" s="1"/>
  <c r="H32" i="6"/>
  <c r="AG32" i="6" s="1"/>
  <c r="K32" i="6"/>
  <c r="AH32" i="6" s="1"/>
  <c r="F33" i="6"/>
  <c r="AF33" i="6" s="1"/>
  <c r="H33" i="6"/>
  <c r="AG33" i="6" s="1"/>
  <c r="K33" i="6"/>
  <c r="AH33" i="6" s="1"/>
  <c r="F34" i="6"/>
  <c r="AF34" i="6" s="1"/>
  <c r="H34" i="6"/>
  <c r="AG34" i="6" s="1"/>
  <c r="K34" i="6"/>
  <c r="AH34" i="6" s="1"/>
  <c r="F35" i="6"/>
  <c r="AF35" i="6" s="1"/>
  <c r="H35" i="6"/>
  <c r="AG35" i="6" s="1"/>
  <c r="K35" i="6"/>
  <c r="AH35" i="6" s="1"/>
  <c r="F36" i="6"/>
  <c r="AF36" i="6" s="1"/>
  <c r="H36" i="6"/>
  <c r="AG36" i="6" s="1"/>
  <c r="K36" i="6"/>
  <c r="AH36" i="6" s="1"/>
  <c r="F37" i="6"/>
  <c r="AF37" i="6" s="1"/>
  <c r="H37" i="6"/>
  <c r="AG37" i="6" s="1"/>
  <c r="K37" i="6"/>
  <c r="AH37" i="6" s="1"/>
  <c r="F38" i="6"/>
  <c r="AF38" i="6" s="1"/>
  <c r="H38" i="6"/>
  <c r="AG38" i="6" s="1"/>
  <c r="K38" i="6"/>
  <c r="AH38" i="6" s="1"/>
  <c r="F39" i="6"/>
  <c r="AF39" i="6" s="1"/>
  <c r="H39" i="6"/>
  <c r="AG39" i="6" s="1"/>
  <c r="K39" i="6"/>
  <c r="AH39" i="6" s="1"/>
  <c r="F40" i="6"/>
  <c r="AF40" i="6" s="1"/>
  <c r="H40" i="6"/>
  <c r="AG40" i="6" s="1"/>
  <c r="K40" i="6"/>
  <c r="AH40" i="6" s="1"/>
  <c r="F41" i="6"/>
  <c r="AF41" i="6" s="1"/>
  <c r="H41" i="6"/>
  <c r="AG41" i="6" s="1"/>
  <c r="K41" i="6"/>
  <c r="AH41" i="6" s="1"/>
  <c r="F42" i="6"/>
  <c r="AF42" i="6" s="1"/>
  <c r="H42" i="6"/>
  <c r="AG42" i="6" s="1"/>
  <c r="K42" i="6"/>
  <c r="AH42" i="6" s="1"/>
  <c r="F43" i="6"/>
  <c r="AF43" i="6" s="1"/>
  <c r="H43" i="6"/>
  <c r="AG43" i="6" s="1"/>
  <c r="K43" i="6"/>
  <c r="AH43" i="6" s="1"/>
  <c r="F44" i="6"/>
  <c r="AF44" i="6" s="1"/>
  <c r="H44" i="6"/>
  <c r="AG44" i="6" s="1"/>
  <c r="K44" i="6"/>
  <c r="AH44" i="6" s="1"/>
  <c r="F45" i="6"/>
  <c r="AF45" i="6" s="1"/>
  <c r="H45" i="6"/>
  <c r="AG45" i="6" s="1"/>
  <c r="K45" i="6"/>
  <c r="AH45" i="6" s="1"/>
  <c r="F46" i="6"/>
  <c r="AF46" i="6" s="1"/>
  <c r="H46" i="6"/>
  <c r="AG46" i="6" s="1"/>
  <c r="K46" i="6"/>
  <c r="AH46" i="6" s="1"/>
  <c r="K11" i="6"/>
  <c r="AH11" i="6" s="1"/>
  <c r="H11" i="6"/>
  <c r="AG11" i="6" s="1"/>
  <c r="F11" i="6"/>
  <c r="D11" i="6"/>
  <c r="F5" i="42" l="1"/>
  <c r="F13" i="42" s="1"/>
  <c r="C10" i="33" s="1"/>
  <c r="AY19" i="31"/>
  <c r="F5" i="41"/>
  <c r="F17" i="41" s="1"/>
  <c r="C9" i="33" s="1"/>
  <c r="AY24" i="30"/>
  <c r="F5" i="22"/>
  <c r="F12" i="22" s="1"/>
  <c r="C7" i="33" s="1"/>
  <c r="AW19" i="29"/>
  <c r="C14" i="19"/>
  <c r="AF11" i="6"/>
  <c r="W11" i="6"/>
  <c r="X11" i="6" s="1"/>
  <c r="C5" i="40" s="1"/>
  <c r="AL46" i="6"/>
  <c r="AL45" i="6"/>
  <c r="AL44" i="6"/>
  <c r="AL43" i="6"/>
  <c r="AL42" i="6"/>
  <c r="AL41" i="6"/>
  <c r="AL40" i="6"/>
  <c r="AL39" i="6"/>
  <c r="AL38" i="6"/>
  <c r="AL37" i="6"/>
  <c r="AL36" i="6"/>
  <c r="AL35" i="6"/>
  <c r="AL34" i="6"/>
  <c r="AL33" i="6"/>
  <c r="AL32" i="6"/>
  <c r="AL31" i="6"/>
  <c r="AL30" i="6"/>
  <c r="AL29" i="6"/>
  <c r="AL28" i="6"/>
  <c r="AL27" i="6"/>
  <c r="AL26" i="6"/>
  <c r="AL25" i="6"/>
  <c r="AL24" i="6"/>
  <c r="AL23" i="6"/>
  <c r="AL22" i="6"/>
  <c r="AL21" i="6"/>
  <c r="AL20" i="6"/>
  <c r="AL19" i="6"/>
  <c r="AL18" i="6"/>
  <c r="AL17" i="6"/>
  <c r="AL16" i="6"/>
  <c r="AL15" i="6"/>
  <c r="AL14" i="6"/>
  <c r="AL13" i="6"/>
  <c r="AL12" i="6"/>
  <c r="X12" i="6"/>
  <c r="C6" i="40" s="1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AM46" i="6"/>
  <c r="AM45" i="6"/>
  <c r="AM44" i="6"/>
  <c r="AM43" i="6"/>
  <c r="AM42" i="6"/>
  <c r="AM41" i="6"/>
  <c r="AM40" i="6"/>
  <c r="AM39" i="6"/>
  <c r="AM38" i="6"/>
  <c r="AM37" i="6"/>
  <c r="AM36" i="6"/>
  <c r="AM35" i="6"/>
  <c r="AM34" i="6"/>
  <c r="AM33" i="6"/>
  <c r="AM32" i="6"/>
  <c r="AM31" i="6"/>
  <c r="AM30" i="6"/>
  <c r="AM29" i="6"/>
  <c r="AM28" i="6"/>
  <c r="AM27" i="6"/>
  <c r="AN45" i="6" l="1"/>
  <c r="AU45" i="6" s="1"/>
  <c r="AN46" i="6"/>
  <c r="AU46" i="6" s="1"/>
  <c r="AN43" i="6"/>
  <c r="AU43" i="6" s="1"/>
  <c r="AN44" i="6"/>
  <c r="AU44" i="6" s="1"/>
  <c r="AN42" i="6"/>
  <c r="AU42" i="6" s="1"/>
  <c r="AN41" i="6"/>
  <c r="AU41" i="6" s="1"/>
  <c r="AN40" i="6"/>
  <c r="AU40" i="6" s="1"/>
  <c r="AN39" i="6"/>
  <c r="AU39" i="6" s="1"/>
  <c r="AN36" i="6"/>
  <c r="AU36" i="6" s="1"/>
  <c r="AN37" i="6"/>
  <c r="AU37" i="6" s="1"/>
  <c r="AN38" i="6"/>
  <c r="AU38" i="6" s="1"/>
  <c r="AN35" i="6"/>
  <c r="AU35" i="6" s="1"/>
  <c r="AN34" i="6"/>
  <c r="AU34" i="6" s="1"/>
  <c r="AN33" i="6"/>
  <c r="AU33" i="6" s="1"/>
  <c r="AN32" i="6"/>
  <c r="AU32" i="6" s="1"/>
  <c r="AN31" i="6"/>
  <c r="AU31" i="6" s="1"/>
  <c r="AN30" i="6"/>
  <c r="AU30" i="6" s="1"/>
  <c r="AN29" i="6"/>
  <c r="AU29" i="6" s="1"/>
  <c r="AN27" i="6"/>
  <c r="AU27" i="6" s="1"/>
  <c r="AN28" i="6"/>
  <c r="AU28" i="6" s="1"/>
  <c r="E8" i="36"/>
  <c r="AL11" i="6"/>
  <c r="Q49" i="6"/>
  <c r="E40" i="40" l="1"/>
  <c r="AW46" i="6"/>
  <c r="F40" i="40" s="1"/>
  <c r="E39" i="40"/>
  <c r="AW45" i="6"/>
  <c r="F39" i="40" s="1"/>
  <c r="E38" i="40"/>
  <c r="AW44" i="6"/>
  <c r="F38" i="40" s="1"/>
  <c r="E37" i="40"/>
  <c r="AW43" i="6"/>
  <c r="F37" i="40" s="1"/>
  <c r="E36" i="40"/>
  <c r="AW42" i="6"/>
  <c r="F36" i="40" s="1"/>
  <c r="E35" i="40"/>
  <c r="AW41" i="6"/>
  <c r="F35" i="40" s="1"/>
  <c r="E34" i="40"/>
  <c r="AW40" i="6"/>
  <c r="F34" i="40" s="1"/>
  <c r="E33" i="40"/>
  <c r="AW39" i="6"/>
  <c r="F33" i="40" s="1"/>
  <c r="E32" i="40"/>
  <c r="AW38" i="6"/>
  <c r="F32" i="40" s="1"/>
  <c r="E31" i="40"/>
  <c r="AW37" i="6"/>
  <c r="F31" i="40" s="1"/>
  <c r="E30" i="40"/>
  <c r="AW36" i="6"/>
  <c r="F30" i="40" s="1"/>
  <c r="E29" i="40"/>
  <c r="AW35" i="6"/>
  <c r="F29" i="40" s="1"/>
  <c r="E28" i="40"/>
  <c r="AW34" i="6"/>
  <c r="F28" i="40" s="1"/>
  <c r="E27" i="40"/>
  <c r="AW33" i="6"/>
  <c r="F27" i="40" s="1"/>
  <c r="E26" i="40"/>
  <c r="AW32" i="6"/>
  <c r="F26" i="40" s="1"/>
  <c r="E25" i="40"/>
  <c r="AW31" i="6"/>
  <c r="F25" i="40" s="1"/>
  <c r="E24" i="40"/>
  <c r="AW30" i="6"/>
  <c r="F24" i="40" s="1"/>
  <c r="E23" i="40"/>
  <c r="AW29" i="6"/>
  <c r="F23" i="40" s="1"/>
  <c r="E22" i="40"/>
  <c r="AW28" i="6"/>
  <c r="F22" i="40" s="1"/>
  <c r="E21" i="40"/>
  <c r="AW27" i="6"/>
  <c r="F21" i="40" s="1"/>
  <c r="E24" i="19"/>
  <c r="E24" i="36"/>
  <c r="E32" i="36" s="1"/>
  <c r="B12" i="6"/>
  <c r="AV12" i="6" s="1"/>
  <c r="B13" i="6"/>
  <c r="AV13" i="6" s="1"/>
  <c r="B14" i="6"/>
  <c r="AV14" i="6" s="1"/>
  <c r="B15" i="6"/>
  <c r="AV15" i="6" s="1"/>
  <c r="B16" i="6"/>
  <c r="AV16" i="6" s="1"/>
  <c r="B17" i="6"/>
  <c r="AV17" i="6" s="1"/>
  <c r="B18" i="6"/>
  <c r="AV18" i="6" s="1"/>
  <c r="B19" i="6"/>
  <c r="AV19" i="6" s="1"/>
  <c r="B20" i="6"/>
  <c r="AV20" i="6" s="1"/>
  <c r="B21" i="6"/>
  <c r="AV21" i="6" s="1"/>
  <c r="B22" i="6"/>
  <c r="AV22" i="6" s="1"/>
  <c r="B23" i="6"/>
  <c r="AV23" i="6" s="1"/>
  <c r="B24" i="6"/>
  <c r="AV24" i="6" s="1"/>
  <c r="B25" i="6"/>
  <c r="AV25" i="6" s="1"/>
  <c r="B26" i="6"/>
  <c r="AV26" i="6" s="1"/>
  <c r="B27" i="6"/>
  <c r="AV27" i="6" s="1"/>
  <c r="B28" i="6"/>
  <c r="AV28" i="6" s="1"/>
  <c r="B29" i="6"/>
  <c r="AV29" i="6" s="1"/>
  <c r="B30" i="6"/>
  <c r="AV30" i="6" s="1"/>
  <c r="B31" i="6"/>
  <c r="AV31" i="6" s="1"/>
  <c r="B32" i="6"/>
  <c r="AV32" i="6" s="1"/>
  <c r="B33" i="6"/>
  <c r="AV33" i="6" s="1"/>
  <c r="B34" i="6"/>
  <c r="AV34" i="6" s="1"/>
  <c r="B35" i="6"/>
  <c r="AV35" i="6" s="1"/>
  <c r="B36" i="6"/>
  <c r="AV36" i="6" s="1"/>
  <c r="B37" i="6"/>
  <c r="AV37" i="6" s="1"/>
  <c r="B38" i="6"/>
  <c r="AV38" i="6" s="1"/>
  <c r="B39" i="6"/>
  <c r="AV39" i="6" s="1"/>
  <c r="B40" i="6"/>
  <c r="AV40" i="6" s="1"/>
  <c r="B41" i="6"/>
  <c r="AV41" i="6" s="1"/>
  <c r="B42" i="6"/>
  <c r="AV42" i="6" s="1"/>
  <c r="B43" i="6"/>
  <c r="AV43" i="6" s="1"/>
  <c r="B44" i="6"/>
  <c r="AV44" i="6" s="1"/>
  <c r="B45" i="6"/>
  <c r="AV45" i="6" s="1"/>
  <c r="B46" i="6"/>
  <c r="AV46" i="6" s="1"/>
  <c r="B49" i="6"/>
  <c r="B11" i="6"/>
  <c r="B5" i="6"/>
  <c r="AM11" i="6"/>
  <c r="AN11" i="6" s="1"/>
  <c r="E29" i="19" s="1"/>
  <c r="AP11" i="6"/>
  <c r="AQ11" i="6"/>
  <c r="E27" i="19" s="1"/>
  <c r="AU11" i="6"/>
  <c r="E5" i="40" s="1"/>
  <c r="AV11" i="6"/>
  <c r="AP12" i="6"/>
  <c r="AQ12" i="6"/>
  <c r="AP13" i="6"/>
  <c r="AQ13" i="6"/>
  <c r="AP14" i="6"/>
  <c r="AQ14" i="6"/>
  <c r="AP15" i="6"/>
  <c r="AQ15" i="6"/>
  <c r="AP16" i="6"/>
  <c r="AQ16" i="6"/>
  <c r="AP17" i="6"/>
  <c r="AQ17" i="6"/>
  <c r="AP18" i="6"/>
  <c r="AQ18" i="6"/>
  <c r="AU18" i="6"/>
  <c r="AP19" i="6"/>
  <c r="AQ19" i="6"/>
  <c r="AU19" i="6"/>
  <c r="AP20" i="6"/>
  <c r="AQ20" i="6"/>
  <c r="AU20" i="6"/>
  <c r="AP21" i="6"/>
  <c r="AQ21" i="6"/>
  <c r="AU21" i="6"/>
  <c r="AP22" i="6"/>
  <c r="AQ22" i="6"/>
  <c r="AU22" i="6"/>
  <c r="AP23" i="6"/>
  <c r="AQ23" i="6"/>
  <c r="AU23" i="6"/>
  <c r="AP24" i="6"/>
  <c r="AQ24" i="6"/>
  <c r="AP25" i="6"/>
  <c r="AQ25" i="6"/>
  <c r="AP26" i="6"/>
  <c r="AQ26" i="6"/>
  <c r="E14" i="23"/>
  <c r="E43" i="23"/>
  <c r="E42" i="23"/>
  <c r="E41" i="23"/>
  <c r="E40" i="23"/>
  <c r="E39" i="23"/>
  <c r="E38" i="23"/>
  <c r="E37" i="23"/>
  <c r="E36" i="23"/>
  <c r="E35" i="23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8" i="23"/>
  <c r="E17" i="23"/>
  <c r="E16" i="23"/>
  <c r="E15" i="23"/>
  <c r="E13" i="23"/>
  <c r="E12" i="23"/>
  <c r="E11" i="23"/>
  <c r="E10" i="23"/>
  <c r="E9" i="23"/>
  <c r="E8" i="23"/>
  <c r="AW11" i="6" l="1"/>
  <c r="F5" i="40" s="1"/>
  <c r="C20" i="19"/>
  <c r="E30" i="36"/>
  <c r="E33" i="36" s="1"/>
  <c r="E34" i="36" s="1"/>
  <c r="B25" i="19"/>
  <c r="N8" i="23"/>
  <c r="F8" i="23"/>
  <c r="N9" i="23"/>
  <c r="F9" i="23"/>
  <c r="N10" i="23"/>
  <c r="F10" i="23"/>
  <c r="N11" i="23"/>
  <c r="F11" i="23"/>
  <c r="N12" i="23"/>
  <c r="F12" i="23"/>
  <c r="N13" i="23"/>
  <c r="F13" i="23"/>
  <c r="N14" i="23"/>
  <c r="F14" i="23"/>
  <c r="N15" i="23"/>
  <c r="F15" i="23"/>
  <c r="N16" i="23"/>
  <c r="F16" i="23"/>
  <c r="N17" i="23"/>
  <c r="F17" i="23"/>
  <c r="N18" i="23"/>
  <c r="F18" i="23"/>
  <c r="N19" i="23"/>
  <c r="F19" i="23"/>
  <c r="N20" i="23"/>
  <c r="F20" i="23"/>
  <c r="N21" i="23"/>
  <c r="F21" i="23"/>
  <c r="N22" i="23"/>
  <c r="F22" i="23"/>
  <c r="N23" i="23"/>
  <c r="F23" i="23"/>
  <c r="N24" i="23"/>
  <c r="F24" i="23"/>
  <c r="N25" i="23"/>
  <c r="F25" i="23"/>
  <c r="N26" i="23"/>
  <c r="F26" i="23"/>
  <c r="N27" i="23"/>
  <c r="F27" i="23"/>
  <c r="N28" i="23"/>
  <c r="F28" i="23"/>
  <c r="N29" i="23"/>
  <c r="F29" i="23"/>
  <c r="N30" i="23"/>
  <c r="F30" i="23"/>
  <c r="N31" i="23"/>
  <c r="F31" i="23"/>
  <c r="N32" i="23"/>
  <c r="F32" i="23"/>
  <c r="N33" i="23"/>
  <c r="F33" i="23"/>
  <c r="N34" i="23"/>
  <c r="F34" i="23"/>
  <c r="N35" i="23"/>
  <c r="F35" i="23"/>
  <c r="N36" i="23"/>
  <c r="F36" i="23"/>
  <c r="N37" i="23"/>
  <c r="F37" i="23"/>
  <c r="N38" i="23"/>
  <c r="F38" i="23"/>
  <c r="N39" i="23"/>
  <c r="F39" i="23"/>
  <c r="N40" i="23"/>
  <c r="F40" i="23"/>
  <c r="N41" i="23"/>
  <c r="F41" i="23"/>
  <c r="N42" i="23"/>
  <c r="F42" i="23"/>
  <c r="N43" i="23"/>
  <c r="F43" i="23"/>
  <c r="Q46" i="6" l="1"/>
  <c r="Q45" i="6"/>
  <c r="Q44" i="6"/>
  <c r="Q43" i="6"/>
  <c r="Q42" i="6"/>
  <c r="Q41" i="6"/>
  <c r="Q40" i="6"/>
  <c r="Q39" i="6"/>
  <c r="Q38" i="6"/>
  <c r="Q37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B9" i="19" l="1"/>
  <c r="B8" i="19"/>
  <c r="A12" i="19" l="1"/>
  <c r="A11" i="19"/>
  <c r="E8" i="19" l="1"/>
  <c r="E32" i="19" l="1"/>
  <c r="E30" i="19" l="1"/>
  <c r="E33" i="19" s="1"/>
  <c r="E34" i="19" s="1"/>
  <c r="AM13" i="6" l="1"/>
  <c r="AN13" i="6" s="1"/>
  <c r="AU13" i="6" s="1"/>
  <c r="E7" i="40" s="1"/>
  <c r="AW13" i="6"/>
  <c r="F7" i="40" s="1"/>
  <c r="AM14" i="6"/>
  <c r="AM24" i="6"/>
  <c r="AM21" i="6"/>
  <c r="AW21" i="6" s="1"/>
  <c r="AM23" i="6"/>
  <c r="AW23" i="6" s="1"/>
  <c r="AM22" i="6"/>
  <c r="AW22" i="6" s="1"/>
  <c r="AM20" i="6"/>
  <c r="AW20" i="6" s="1"/>
  <c r="AM26" i="6"/>
  <c r="AM19" i="6"/>
  <c r="AW19" i="6" s="1"/>
  <c r="AM18" i="6"/>
  <c r="AW18" i="6" s="1"/>
  <c r="AM25" i="6"/>
  <c r="AM17" i="6"/>
  <c r="AM16" i="6"/>
  <c r="AM15" i="6"/>
  <c r="AM12" i="6"/>
  <c r="AN25" i="6" l="1"/>
  <c r="AU25" i="6" s="1"/>
  <c r="AN26" i="6"/>
  <c r="AU26" i="6" s="1"/>
  <c r="AN24" i="6"/>
  <c r="AU24" i="6" s="1"/>
  <c r="AN17" i="6"/>
  <c r="AU17" i="6" s="1"/>
  <c r="AN16" i="6"/>
  <c r="AU16" i="6" s="1"/>
  <c r="AN15" i="6"/>
  <c r="AU15" i="6" s="1"/>
  <c r="AN14" i="6"/>
  <c r="AU14" i="6" s="1"/>
  <c r="AN12" i="6"/>
  <c r="AU12" i="6" s="1"/>
  <c r="E18" i="40" l="1"/>
  <c r="AW24" i="6"/>
  <c r="F18" i="40" s="1"/>
  <c r="E20" i="40"/>
  <c r="AW26" i="6"/>
  <c r="F20" i="40" s="1"/>
  <c r="E19" i="40"/>
  <c r="AW25" i="6"/>
  <c r="F19" i="40" s="1"/>
  <c r="E11" i="40"/>
  <c r="AW17" i="6"/>
  <c r="F11" i="40" s="1"/>
  <c r="E10" i="40"/>
  <c r="AW16" i="6"/>
  <c r="F10" i="40" s="1"/>
  <c r="E8" i="40"/>
  <c r="AW14" i="6"/>
  <c r="F8" i="40" s="1"/>
  <c r="E9" i="40"/>
  <c r="AW15" i="6"/>
  <c r="F9" i="40" s="1"/>
  <c r="E6" i="40"/>
  <c r="AW12" i="6"/>
  <c r="AW48" i="6" l="1"/>
  <c r="F6" i="40"/>
  <c r="F42" i="40" s="1"/>
  <c r="C8" i="33" s="1"/>
  <c r="C14" i="3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Muhammad Yusuf Amir</author>
    <author>WINDOOWS 10</author>
  </authors>
  <commentList>
    <comment ref="B8" authorId="0" shapeId="0" xr:uid="{C658F80B-4461-4A97-BA1E-E6B85950E013}">
      <text>
        <r>
          <rPr>
            <b/>
            <sz val="9"/>
            <rFont val="Tahoma"/>
            <family val="2"/>
          </rPr>
          <t>istri dari Akbar Selle, S. Pd.I di unit pesantren</t>
        </r>
        <r>
          <rPr>
            <sz val="9"/>
            <rFont val="Tahoma"/>
            <family val="2"/>
          </rPr>
          <t xml:space="preserve">
</t>
        </r>
      </text>
    </comment>
    <comment ref="B11" authorId="0" shapeId="0" xr:uid="{3072C6B6-B128-4C62-9BE2-EFDA7F81D651}">
      <text>
        <r>
          <rPr>
            <b/>
            <sz val="9"/>
            <rFont val="Tahoma"/>
            <family val="2"/>
          </rPr>
          <t>Istri dari Muhammad JD Hertasmin di unit SD</t>
        </r>
        <r>
          <rPr>
            <sz val="9"/>
            <rFont val="Tahoma"/>
            <family val="2"/>
          </rPr>
          <t xml:space="preserve">
</t>
        </r>
      </text>
    </comment>
    <comment ref="B12" authorId="0" shapeId="0" xr:uid="{601FBCB7-323C-4F63-9F24-70A74C6BC6C8}">
      <text>
        <r>
          <rPr>
            <b/>
            <sz val="9"/>
            <rFont val="Tahoma"/>
            <family val="2"/>
          </rPr>
          <t xml:space="preserve">Suami dari Juwarni di Unit SD
</t>
        </r>
      </text>
    </comment>
    <comment ref="F12" authorId="1" shapeId="0" xr:uid="{2C09E29F-0E97-4309-A923-842D52D12B02}">
      <text>
        <r>
          <rPr>
            <b/>
            <sz val="9"/>
            <rFont val="Tahoma"/>
            <family val="2"/>
          </rPr>
          <t>Sempat Resign dari Januari s/d Juni 2020</t>
        </r>
      </text>
    </comment>
    <comment ref="B13" authorId="0" shapeId="0" xr:uid="{B97EC8B8-B323-461F-944F-1E53427BBFD5}">
      <text>
        <r>
          <rPr>
            <b/>
            <sz val="9"/>
            <rFont val="Tahoma"/>
            <family val="2"/>
          </rPr>
          <t xml:space="preserve">suami dari Nur Reski Prasetia Jamriani, S.Pd di unit SD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ismail - [2010]</author>
    <author>Administrator</author>
  </authors>
  <commentList>
    <comment ref="B11" authorId="0" shapeId="0" xr:uid="{202DB8D8-FE91-445D-8995-F5EB12C6EE47}">
      <text>
        <r>
          <rPr>
            <sz val="9"/>
            <color indexed="81"/>
            <rFont val="Tahoma"/>
            <family val="2"/>
          </rPr>
          <t xml:space="preserve">GTY (Pimpinan Pondok)
</t>
        </r>
      </text>
    </comment>
    <comment ref="AA11" authorId="1" shapeId="0" xr:uid="{059952B6-DE2F-4080-835D-AC5AFE940A25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B12" authorId="0" shapeId="0" xr:uid="{D8C6DB55-82F7-44FA-8B25-248F74125FD0}">
      <text>
        <r>
          <rPr>
            <sz val="9"/>
            <color indexed="81"/>
            <rFont val="Tahoma"/>
            <family val="2"/>
          </rPr>
          <t xml:space="preserve">GTY (Kepala Sekolah SMA)
</t>
        </r>
      </text>
    </comment>
    <comment ref="AA12" authorId="1" shapeId="0" xr:uid="{B3D476E3-7EBA-482E-885B-3A087BD27FAF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AA13" authorId="1" shapeId="0" xr:uid="{68CDCBFB-945B-4C14-84AF-C183C5CA1721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AA14" authorId="1" shapeId="0" xr:uid="{73887D1A-5C0B-437A-97A7-EEE33DDEB62F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B15" authorId="0" shapeId="0" xr:uid="{2B1AE66F-AFED-4B85-8A0D-280349E7216F}">
      <text>
        <r>
          <rPr>
            <b/>
            <sz val="9"/>
            <color indexed="81"/>
            <rFont val="Tahoma"/>
            <family val="2"/>
          </rPr>
          <t>GTY (Pendidik)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5" authorId="1" shapeId="0" xr:uid="{A0F08DCE-DD47-4486-90E3-B98A49D89028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B16" authorId="0" shapeId="0" xr:uid="{8D92A63C-95A4-42B2-9F8D-2317EF3FF6D4}">
      <text>
        <r>
          <rPr>
            <b/>
            <sz val="9"/>
            <color indexed="81"/>
            <rFont val="Tahoma"/>
            <family val="2"/>
          </rPr>
          <t>GTY (Pendidik)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6" authorId="1" shapeId="0" xr:uid="{448783BC-9562-400C-A2B3-29E7CC4A169E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B17" authorId="0" shapeId="0" xr:uid="{3E6ACF91-9C40-4E71-886F-11B6B2902CB5}">
      <text>
        <r>
          <rPr>
            <b/>
            <sz val="9"/>
            <color indexed="81"/>
            <rFont val="Tahoma"/>
            <family val="2"/>
          </rPr>
          <t>GTY (Pendidik)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8" authorId="0" shapeId="0" xr:uid="{5414C1BC-7562-4147-A295-A925BD3193D1}">
      <text>
        <r>
          <rPr>
            <b/>
            <sz val="9"/>
            <color indexed="81"/>
            <rFont val="Tahoma"/>
            <family val="2"/>
          </rPr>
          <t>GTY (Pendidik)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Muhammad Yusuf Amir</author>
    <author>WINDOOWS 10</author>
  </authors>
  <commentList>
    <comment ref="B8" authorId="0" shapeId="0" xr:uid="{74BC3F0C-CE08-46CA-9C23-8FC5038395B9}">
      <text>
        <r>
          <rPr>
            <b/>
            <sz val="9"/>
            <rFont val="Tahoma"/>
            <family val="2"/>
          </rPr>
          <t>istri dari Akbar Selle, S. Pd.I di unit pesantren</t>
        </r>
        <r>
          <rPr>
            <sz val="9"/>
            <rFont val="Tahoma"/>
            <family val="2"/>
          </rPr>
          <t xml:space="preserve">
</t>
        </r>
      </text>
    </comment>
    <comment ref="B11" authorId="0" shapeId="0" xr:uid="{160BE8E1-B03D-447F-AC09-C34BFE86F9DE}">
      <text>
        <r>
          <rPr>
            <b/>
            <sz val="9"/>
            <rFont val="Tahoma"/>
            <family val="2"/>
          </rPr>
          <t>Istri dari Muhammad JD Hertasmin di unit SD</t>
        </r>
        <r>
          <rPr>
            <sz val="9"/>
            <rFont val="Tahoma"/>
            <family val="2"/>
          </rPr>
          <t xml:space="preserve">
</t>
        </r>
      </text>
    </comment>
    <comment ref="B12" authorId="0" shapeId="0" xr:uid="{ED331ADD-16FB-47F4-B69B-0BD7FBB7AE21}">
      <text>
        <r>
          <rPr>
            <b/>
            <sz val="9"/>
            <rFont val="Tahoma"/>
            <family val="2"/>
          </rPr>
          <t xml:space="preserve">Suami dari Juwarni di Unit SD
</t>
        </r>
      </text>
    </comment>
    <comment ref="F12" authorId="1" shapeId="0" xr:uid="{E0047E99-DE02-443F-A3F8-0F90A38E5928}">
      <text>
        <r>
          <rPr>
            <b/>
            <sz val="9"/>
            <rFont val="Tahoma"/>
            <family val="2"/>
          </rPr>
          <t>Sempat Resign dari Januari s/d Juni 2020</t>
        </r>
      </text>
    </comment>
    <comment ref="R12" authorId="0" shapeId="0" xr:uid="{5CEDD1B2-8A21-453E-9576-5EDD04BA39F5}">
      <text>
        <r>
          <rPr>
            <b/>
            <sz val="9"/>
            <rFont val="Tahoma"/>
            <family val="2"/>
          </rPr>
          <t>Ujian Susulan
Paket C</t>
        </r>
      </text>
    </comment>
    <comment ref="B13" authorId="0" shapeId="0" xr:uid="{A826F52C-D83C-4226-9DBF-D938B573F3E3}">
      <text>
        <r>
          <rPr>
            <b/>
            <sz val="9"/>
            <rFont val="Tahoma"/>
            <family val="2"/>
          </rPr>
          <t xml:space="preserve">suami dari Nur Reski Prasetia Jamriani, S.Pd di unit SD
</t>
        </r>
      </text>
    </comment>
    <comment ref="B14" authorId="0" shapeId="0" xr:uid="{AFABA0EB-51BD-43B6-8B59-1DFF2485D038}">
      <text>
        <r>
          <rPr>
            <b/>
            <sz val="9"/>
            <rFont val="Tahoma"/>
            <family val="2"/>
          </rPr>
          <t xml:space="preserve">istri dari Sulaiman, S.Pd di unit SD
</t>
        </r>
      </text>
    </comment>
    <comment ref="B15" authorId="0" shapeId="0" xr:uid="{0790E663-01F2-476F-A9F2-189ADEBE7EED}">
      <text>
        <r>
          <rPr>
            <b/>
            <sz val="9"/>
            <rFont val="Tahoma"/>
            <family val="2"/>
          </rPr>
          <t>PEGAWAI NEGERI SIPIL</t>
        </r>
      </text>
    </comment>
    <comment ref="B20" authorId="0" shapeId="0" xr:uid="{5F0451D8-AF12-4C7C-9918-E6C9A6456E64}">
      <text>
        <r>
          <rPr>
            <b/>
            <sz val="9"/>
            <rFont val="Tahoma"/>
            <family val="2"/>
          </rPr>
          <t xml:space="preserve">suami dari Husmaeni, S.Pd.I di unit SD
</t>
        </r>
      </text>
    </comment>
    <comment ref="B21" authorId="0" shapeId="0" xr:uid="{2CFAE441-98F4-41C8-BABE-E17886E592F9}">
      <text>
        <r>
          <rPr>
            <b/>
            <sz val="9"/>
            <rFont val="Tahoma"/>
            <family val="2"/>
          </rPr>
          <t xml:space="preserve">Istri dari Bambang Seh Parianto unit SMP
</t>
        </r>
      </text>
    </comment>
    <comment ref="B28" authorId="1" shapeId="0" xr:uid="{90DCC900-3889-4823-8B5B-68CD7EC94B47}">
      <text>
        <r>
          <rPr>
            <b/>
            <sz val="9"/>
            <rFont val="Tahoma"/>
            <family val="2"/>
          </rPr>
          <t>Istri dari Andi farwanzah, S.Pd Unit SDIT</t>
        </r>
      </text>
    </comment>
    <comment ref="B29" authorId="1" shapeId="0" xr:uid="{8B8174FC-2C32-4005-9428-A1B0DB7DE81B}">
      <text>
        <r>
          <rPr>
            <b/>
            <sz val="9"/>
            <rFont val="Tahoma"/>
            <family val="2"/>
          </rPr>
          <t>Suami dari  Ita Mustika Ali, SE Unit SDIT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ismail - [2010]</author>
    <author>Administrator</author>
  </authors>
  <commentList>
    <comment ref="B1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GTY (Pimpinan Pondok)
</t>
        </r>
      </text>
    </comment>
    <comment ref="AA11" authorId="1" shapeId="0" xr:uid="{00000000-0006-0000-0000-000002000000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B12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GTY (Kepala Sekolah SMA)
</t>
        </r>
      </text>
    </comment>
    <comment ref="AA12" authorId="1" shapeId="0" xr:uid="{88CB86FE-AEF2-47BB-98A3-833660258DFE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AA13" authorId="1" shapeId="0" xr:uid="{80A74364-7D27-4091-91BE-DDA2FAEB9BF5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AA14" authorId="1" shapeId="0" xr:uid="{4AF65797-A5C3-4FB9-BBD5-18D4E05F78DA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B15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GTY (Pendidik)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5" authorId="1" shapeId="0" xr:uid="{AB51BD9D-FCF5-46DC-8E51-99FD76725A86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B16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GTY (Pendidik)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6" authorId="1" shapeId="0" xr:uid="{2C081353-FD9B-409F-A975-C5CB73B79BC5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B17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GTY (Pendidik)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GTY (Pendidik)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9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GTY (Pendidik)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0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GTY (Pendidik)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20" authorId="1" shapeId="0" xr:uid="{3BB834AE-B00A-45C9-ABDA-697566E5D954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B2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GTY (Pendidik)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21" authorId="1" shapeId="0" xr:uid="{8CE9CD46-2F56-406D-A661-5F469F9668A0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B2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GTY (Pendidik)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GTY (Pendidik)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23" authorId="1" shapeId="0" xr:uid="{CBA54E87-FD09-40E0-AF47-24B07068AFB4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B24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GTY (Non 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24" authorId="1" shapeId="0" xr:uid="{684EEAC8-884F-4FCF-8ECC-B41654E9C5BD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B25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GTY (Non 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25" authorId="1" shapeId="0" xr:uid="{F92372B5-9574-42D3-BBE1-8C79D61C4E3D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B26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GTY (Non 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26" authorId="1" shapeId="0" xr:uid="{5F5A1B83-355F-42BA-8B16-C037598587D0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AA27" authorId="1" shapeId="0" xr:uid="{8A9BA1B4-CCAD-4480-BD42-04BFADBF7311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AA28" authorId="1" shapeId="0" xr:uid="{054B64E5-09B3-4581-8460-2F8C5D1DB19A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AA30" authorId="1" shapeId="0" xr:uid="{66BD4248-A207-4243-9784-018A8587A3C5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AA33" authorId="1" shapeId="0" xr:uid="{F304623A-ABAD-497D-AA5B-45F9A23DF349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AA34" authorId="1" shapeId="0" xr:uid="{73675CFE-02FA-427A-B42A-4808E08FA1D2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AA36" authorId="1" shapeId="0" xr:uid="{B37AA169-D122-4435-B4CD-ADEACE2E3198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AA37" authorId="1" shapeId="0" xr:uid="{338A26A4-4678-408F-85BA-D486E015CEC0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AA39" authorId="1" shapeId="0" xr:uid="{1C0CDC43-F96E-48BD-987B-8F80308DF1A4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AA40" authorId="1" shapeId="0" xr:uid="{4A86FC4B-8B19-48BB-9C0A-77633B3E8BAE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AA41" authorId="1" shapeId="0" xr:uid="{E2DA8058-BFA5-4467-912D-14136E83DC21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AA42" authorId="1" shapeId="0" xr:uid="{FAB0B7B8-0E75-40F6-BB41-9180F1AC7B59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AA43" authorId="1" shapeId="0" xr:uid="{02E3BF33-82B4-4B00-9C35-E9420E7F2A1B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AA45" authorId="1" shapeId="0" xr:uid="{C52DF44F-2D75-4202-853F-476E8C5C203A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Muhammad Yusuf Amir</author>
    <author>WINDOOWS 10</author>
  </authors>
  <commentList>
    <comment ref="B8" authorId="0" shapeId="0" xr:uid="{74206460-8B66-4F83-9FB3-A610C85B5519}">
      <text>
        <r>
          <rPr>
            <b/>
            <sz val="9"/>
            <rFont val="Tahoma"/>
            <family val="2"/>
          </rPr>
          <t>istri dari Akbar Selle, S. Pd.I di unit pesantren</t>
        </r>
        <r>
          <rPr>
            <sz val="9"/>
            <rFont val="Tahoma"/>
            <family val="2"/>
          </rPr>
          <t xml:space="preserve">
</t>
        </r>
      </text>
    </comment>
    <comment ref="B11" authorId="0" shapeId="0" xr:uid="{F0D8B1D9-839B-40F3-9DF1-A41F6FABC051}">
      <text>
        <r>
          <rPr>
            <b/>
            <sz val="9"/>
            <rFont val="Tahoma"/>
            <family val="2"/>
          </rPr>
          <t xml:space="preserve">Suami dari Juwarni di Unit SD
</t>
        </r>
      </text>
    </comment>
    <comment ref="F11" authorId="1" shapeId="0" xr:uid="{5BCDC8FF-C02C-45FC-8196-5E039F8ECC6A}">
      <text>
        <r>
          <rPr>
            <b/>
            <sz val="9"/>
            <rFont val="Tahoma"/>
            <family val="2"/>
          </rPr>
          <t>Sempat Resign dari Januari s/d Juni 2020</t>
        </r>
      </text>
    </comment>
    <comment ref="R11" authorId="0" shapeId="0" xr:uid="{6ECE19D3-30D7-4A85-959E-D1F9B0D045F4}">
      <text>
        <r>
          <rPr>
            <b/>
            <sz val="9"/>
            <rFont val="Tahoma"/>
            <family val="2"/>
          </rPr>
          <t>Ujian Susulan
Paket C</t>
        </r>
      </text>
    </comment>
    <comment ref="B12" authorId="0" shapeId="0" xr:uid="{6BD21144-D67D-4DF4-897E-C96D15FB60E8}">
      <text>
        <r>
          <rPr>
            <b/>
            <sz val="9"/>
            <rFont val="Tahoma"/>
            <family val="2"/>
          </rPr>
          <t xml:space="preserve">suami dari Nur Reski Prasetia Jamriani, S.Pd di unit SD
</t>
        </r>
      </text>
    </comment>
    <comment ref="B14" authorId="0" shapeId="0" xr:uid="{CA8D7330-A777-41E1-B41F-80BC0354F25B}">
      <text>
        <r>
          <rPr>
            <b/>
            <sz val="9"/>
            <rFont val="Tahoma"/>
            <family val="2"/>
          </rPr>
          <t xml:space="preserve">istri dari Sulaiman, S.Pd di unit SD
</t>
        </r>
      </text>
    </comment>
    <comment ref="B15" authorId="0" shapeId="0" xr:uid="{EF1D4416-D905-482C-B514-533D428F36EE}">
      <text>
        <r>
          <rPr>
            <b/>
            <sz val="9"/>
            <rFont val="Tahoma"/>
            <family val="2"/>
          </rPr>
          <t>PEGAWAI NEGERI SIPIL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ismail - [2010]</author>
    <author>Administrator</author>
  </authors>
  <commentList>
    <comment ref="B11" authorId="0" shapeId="0" xr:uid="{2B68B7F0-B172-45FB-8132-2CA13EB302BC}">
      <text>
        <r>
          <rPr>
            <sz val="9"/>
            <color indexed="81"/>
            <rFont val="Tahoma"/>
            <family val="2"/>
          </rPr>
          <t xml:space="preserve">GTY (Pimpinan Pondok)
</t>
        </r>
      </text>
    </comment>
    <comment ref="AB11" authorId="1" shapeId="0" xr:uid="{D54FEEE0-2AC4-4B41-A399-A7A5208970A1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B12" authorId="0" shapeId="0" xr:uid="{DD416701-5877-42AA-9161-33DD54943C24}">
      <text>
        <r>
          <rPr>
            <sz val="9"/>
            <color indexed="81"/>
            <rFont val="Tahoma"/>
            <family val="2"/>
          </rPr>
          <t xml:space="preserve">GTY (Kepala Sekolah SMA)
</t>
        </r>
      </text>
    </comment>
    <comment ref="AB12" authorId="1" shapeId="0" xr:uid="{50392844-0AD1-4A18-919D-89C437982DDD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AB13" authorId="1" shapeId="0" xr:uid="{214D4FA0-6E49-4801-92DE-EA2CF38177AB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B14" authorId="0" shapeId="0" xr:uid="{48DF2A1D-3B3C-413C-B494-FB423480B4C4}">
      <text>
        <r>
          <rPr>
            <b/>
            <sz val="9"/>
            <color indexed="81"/>
            <rFont val="Tahoma"/>
            <family val="2"/>
          </rPr>
          <t>GTY (Pendidik)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4" authorId="1" shapeId="0" xr:uid="{8ABA1FC6-F172-4393-9E96-C1A9234F6332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B15" authorId="0" shapeId="0" xr:uid="{C1FAC01D-A1B6-42DD-9B80-0AE8D654EA3C}">
      <text>
        <r>
          <rPr>
            <b/>
            <sz val="9"/>
            <color indexed="81"/>
            <rFont val="Tahoma"/>
            <family val="2"/>
          </rPr>
          <t>GTY (Pendidik)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5" authorId="1" shapeId="0" xr:uid="{A816063B-2DD3-47A7-B5C8-E439AA4C366F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B16" authorId="0" shapeId="0" xr:uid="{7F33FE26-7DF7-4EBE-9CC2-04D4EE2006C8}">
      <text>
        <r>
          <rPr>
            <b/>
            <sz val="9"/>
            <color indexed="81"/>
            <rFont val="Tahoma"/>
            <family val="2"/>
          </rPr>
          <t>GTY (Pendidik)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6" authorId="1" shapeId="0" xr:uid="{29779878-ED90-4B99-A813-C0D87E9B705B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B17" authorId="0" shapeId="0" xr:uid="{9792CBF7-5B73-4CC0-A8E1-84CF15991C17}">
      <text>
        <r>
          <rPr>
            <b/>
            <sz val="9"/>
            <color indexed="81"/>
            <rFont val="Tahoma"/>
            <family val="2"/>
          </rPr>
          <t>GTY (Pendidik)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8" authorId="0" shapeId="0" xr:uid="{02F41D04-8A77-464A-B8D9-D4EFE3B9E133}">
      <text>
        <r>
          <rPr>
            <b/>
            <sz val="9"/>
            <color indexed="81"/>
            <rFont val="Tahoma"/>
            <family val="2"/>
          </rPr>
          <t>GTY (Pendidik)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8" authorId="1" shapeId="0" xr:uid="{7CE5E0C3-431E-47D0-A1F8-64345ACBBA65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AC18" authorId="1" shapeId="0" xr:uid="{262EF63A-E2B6-4BE5-94E1-B832DDD4E9A7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B19" authorId="0" shapeId="0" xr:uid="{3EFCA2E2-27EF-4922-BE3E-C91B2271001F}">
      <text>
        <r>
          <rPr>
            <b/>
            <sz val="9"/>
            <color indexed="81"/>
            <rFont val="Tahoma"/>
            <family val="2"/>
          </rPr>
          <t>GTY (Pendidik)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9" authorId="1" shapeId="0" xr:uid="{1B64FDDD-E8A7-40E3-8090-629EEFBA31E3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B20" authorId="0" shapeId="0" xr:uid="{FF68A903-26E0-4283-94B8-27967E9F3CD8}">
      <text>
        <r>
          <rPr>
            <b/>
            <sz val="9"/>
            <color indexed="81"/>
            <rFont val="Tahoma"/>
            <family val="2"/>
          </rPr>
          <t>GTY (Pendidik)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20" authorId="1" shapeId="0" xr:uid="{FE964484-429D-4D98-A493-847C1078DE77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B21" authorId="0" shapeId="0" xr:uid="{131498F2-AABE-4698-861C-BB3310D504A9}">
      <text>
        <r>
          <rPr>
            <b/>
            <sz val="9"/>
            <color indexed="81"/>
            <rFont val="Tahoma"/>
            <family val="2"/>
          </rPr>
          <t>GTY (Pendidik)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" authorId="0" shapeId="0" xr:uid="{491FBF1A-651D-4282-86E6-52C45EDE1213}">
      <text>
        <r>
          <rPr>
            <b/>
            <sz val="9"/>
            <color indexed="81"/>
            <rFont val="Tahoma"/>
            <family val="2"/>
          </rPr>
          <t>GTY (Pendidik)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22" authorId="1" shapeId="0" xr:uid="{FC5D628A-D246-433C-87B8-07F6A64503B6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Muhammad Yusuf Amir</author>
  </authors>
  <commentList>
    <comment ref="B8" authorId="0" shapeId="0" xr:uid="{F6C3A335-3F34-4435-BF44-711F1F8B2071}">
      <text>
        <r>
          <rPr>
            <b/>
            <sz val="9"/>
            <rFont val="Tahoma"/>
            <family val="2"/>
          </rPr>
          <t>istri dari Akbar Selle, S. Pd.I di unit pesantren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ismail - [2010]</author>
    <author>Administrator</author>
  </authors>
  <commentList>
    <comment ref="B11" authorId="0" shapeId="0" xr:uid="{014DF80F-2710-448C-AC32-0D8B1DCED627}">
      <text>
        <r>
          <rPr>
            <sz val="9"/>
            <color indexed="81"/>
            <rFont val="Tahoma"/>
            <family val="2"/>
          </rPr>
          <t xml:space="preserve">GTY (Pimpinan Pondok)
</t>
        </r>
      </text>
    </comment>
    <comment ref="V11" authorId="1" shapeId="0" xr:uid="{B74DDFD7-7E9F-40B4-BE16-18EA1AB191B3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AB11" authorId="1" shapeId="0" xr:uid="{241E3202-2AB5-45A1-BC5A-7950737806F9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B12" authorId="0" shapeId="0" xr:uid="{CD0807E1-38A9-4E14-B36F-8419DEBC061A}">
      <text>
        <r>
          <rPr>
            <sz val="9"/>
            <color indexed="81"/>
            <rFont val="Tahoma"/>
            <family val="2"/>
          </rPr>
          <t xml:space="preserve">GTY (Kepala Sekolah SMA)
</t>
        </r>
      </text>
    </comment>
    <comment ref="AB12" authorId="1" shapeId="0" xr:uid="{69DF5583-8B92-42CA-867F-B03E5D44F1A7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AC12" authorId="1" shapeId="0" xr:uid="{D9206166-CAB7-4157-B97A-EC179C4D30F5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V13" authorId="1" shapeId="0" xr:uid="{1E34CBE2-C305-4A4C-8201-78B822584E5E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AB13" authorId="1" shapeId="0" xr:uid="{D073D360-77F8-4E23-8F2B-B3795FA1CB7F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AB14" authorId="1" shapeId="0" xr:uid="{BCE732AE-2A33-4424-9955-D5C4D529D5FA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B15" authorId="0" shapeId="0" xr:uid="{15F81A57-1BE6-43E9-B529-D1276496085E}">
      <text>
        <r>
          <rPr>
            <b/>
            <sz val="9"/>
            <color indexed="81"/>
            <rFont val="Tahoma"/>
            <family val="2"/>
          </rPr>
          <t>GTY (Pendidik)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5" authorId="1" shapeId="0" xr:uid="{F78174BB-04E2-490B-99EA-BE7F644D93DD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B16" authorId="0" shapeId="0" xr:uid="{22282814-CEBB-460E-8019-37BABA37C3CE}">
      <text>
        <r>
          <rPr>
            <b/>
            <sz val="9"/>
            <color indexed="81"/>
            <rFont val="Tahoma"/>
            <family val="2"/>
          </rPr>
          <t>GTY (Pendidik)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6" authorId="1" shapeId="0" xr:uid="{FB61201B-5B14-4709-A2CB-ED2656792576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B17" authorId="0" shapeId="0" xr:uid="{A56F0569-F1B1-42F8-8D6F-39D78D8A6DF2}">
      <text>
        <r>
          <rPr>
            <b/>
            <sz val="9"/>
            <color indexed="81"/>
            <rFont val="Tahoma"/>
            <family val="2"/>
          </rPr>
          <t>GTY (Pendidik)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8" authorId="0" shapeId="0" xr:uid="{6581ED6B-1DD1-4155-938F-88DCF395B0CB}">
      <text>
        <r>
          <rPr>
            <b/>
            <sz val="9"/>
            <color indexed="81"/>
            <rFont val="Tahoma"/>
            <family val="2"/>
          </rPr>
          <t>GTY (Pendidik)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ismail - [2010]</author>
    <author>Administrator</author>
  </authors>
  <commentList>
    <comment ref="B11" authorId="0" shapeId="0" xr:uid="{2371E66C-CB25-40C6-B9A8-C8A3C80684B8}">
      <text>
        <r>
          <rPr>
            <sz val="9"/>
            <color indexed="81"/>
            <rFont val="Tahoma"/>
            <family val="2"/>
          </rPr>
          <t xml:space="preserve">GTY (Pimpinan Pondok)
</t>
        </r>
      </text>
    </comment>
    <comment ref="V11" authorId="1" shapeId="0" xr:uid="{B98A8C56-5C45-4EC3-AB7C-954776792F54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AB11" authorId="1" shapeId="0" xr:uid="{61390DD9-AA5C-4B67-BBCD-3CA2A780BFBB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B12" authorId="0" shapeId="0" xr:uid="{71734AD3-6DE1-4990-9F04-14EB850837E3}">
      <text>
        <r>
          <rPr>
            <sz val="9"/>
            <color indexed="81"/>
            <rFont val="Tahoma"/>
            <family val="2"/>
          </rPr>
          <t xml:space="preserve">GTY (Kepala Sekolah SMA)
</t>
        </r>
      </text>
    </comment>
    <comment ref="AB12" authorId="1" shapeId="0" xr:uid="{5A2F22DD-AF0A-469D-A7F2-4A114A568123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V13" authorId="1" shapeId="0" xr:uid="{FCC2F950-C244-4250-B861-3828E6162FEC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AB13" authorId="1" shapeId="0" xr:uid="{DD760303-404F-4069-9741-04D997DA263F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B14" authorId="0" shapeId="0" xr:uid="{0C2D8EE5-853E-4CFC-BED6-6ECF33D17E3D}">
      <text>
        <r>
          <rPr>
            <b/>
            <sz val="9"/>
            <color indexed="81"/>
            <rFont val="Tahoma"/>
            <family val="2"/>
          </rPr>
          <t>GTY (Pendidik)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4" authorId="1" shapeId="0" xr:uid="{576582AC-7A41-4EC4-B265-36531B0BA51C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B15" authorId="0" shapeId="0" xr:uid="{FDC801E3-B312-40A6-A953-BDA370FB1D4C}">
      <text>
        <r>
          <rPr>
            <b/>
            <sz val="9"/>
            <color indexed="81"/>
            <rFont val="Tahoma"/>
            <family val="2"/>
          </rPr>
          <t>GTY (Pendidik)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6" authorId="0" shapeId="0" xr:uid="{8853D7A3-1822-401B-AC54-E666467DE659}">
      <text>
        <r>
          <rPr>
            <b/>
            <sz val="9"/>
            <color indexed="81"/>
            <rFont val="Tahoma"/>
            <family val="2"/>
          </rPr>
          <t>GTY (Pendidik)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6" authorId="1" shapeId="0" xr:uid="{0B2CE26A-47F9-437B-881C-64E5A18FD8E2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ismail - [2010]</author>
  </authors>
  <commentList>
    <comment ref="Q11" authorId="0" shapeId="0" xr:uid="{0E1F241B-70FC-4B51-8032-1F226F0AF1DE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Q12" authorId="0" shapeId="0" xr:uid="{6C1E948B-3A4B-48F3-AFC4-2F174DC4FA5E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Q13" authorId="0" shapeId="0" xr:uid="{79DDD828-8BC0-4213-83FE-A65DBAF0D036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Q14" authorId="0" shapeId="0" xr:uid="{0603E4CA-7C93-4484-911C-5A8ABBC6F574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  <comment ref="B15" authorId="1" shapeId="0" xr:uid="{A4363C91-DF12-41E6-AC9A-51EDA488FAEC}">
      <text>
        <r>
          <rPr>
            <b/>
            <sz val="9"/>
            <color indexed="81"/>
            <rFont val="Tahoma"/>
            <family val="2"/>
          </rPr>
          <t>GTY (Pendidik)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6" authorId="1" shapeId="0" xr:uid="{F8DEC074-DE11-49A9-83F9-6D2192AE79AC}">
      <text>
        <r>
          <rPr>
            <b/>
            <sz val="9"/>
            <color indexed="81"/>
            <rFont val="Tahoma"/>
            <family val="2"/>
          </rPr>
          <t>GTY (Pendidik)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6" authorId="0" shapeId="0" xr:uid="{FD6FAAB5-A786-402C-93C8-7D90C88C9369}">
      <text>
        <r>
          <rPr>
            <sz val="9"/>
            <color indexed="81"/>
            <rFont val="Tahoma"/>
            <family val="2"/>
          </rPr>
          <t xml:space="preserve">
Wali kls dan Koordinator perpus</t>
        </r>
      </text>
    </comment>
  </commentList>
</comments>
</file>

<file path=xl/sharedStrings.xml><?xml version="1.0" encoding="utf-8"?>
<sst xmlns="http://schemas.openxmlformats.org/spreadsheetml/2006/main" count="1507" uniqueCount="440">
  <si>
    <t>A. PEGAWAI TETAP YAYASAN (BERHENTI/DIBERHENTIKAN)</t>
  </si>
  <si>
    <t>NO</t>
  </si>
  <si>
    <t xml:space="preserve">NAMA </t>
  </si>
  <si>
    <t>HARI EFEKTIF</t>
  </si>
  <si>
    <t>KEHADIRAN</t>
  </si>
  <si>
    <t>TIDAK HADIR</t>
  </si>
  <si>
    <t>TEPAT WAKTU DATANG</t>
  </si>
  <si>
    <t>TERLAMBAT</t>
  </si>
  <si>
    <t>TIDAK CEPAT PULANG</t>
  </si>
  <si>
    <t>CEPAT PULANG</t>
  </si>
  <si>
    <t>DURASI SIM-T</t>
  </si>
  <si>
    <t>PENDAPATAN WAJIB</t>
  </si>
  <si>
    <t>TOTAL 1</t>
  </si>
  <si>
    <t>PENDAPATAN INSENTIF</t>
  </si>
  <si>
    <t>TOTAL 2</t>
  </si>
  <si>
    <t>PEMOTONGAN</t>
  </si>
  <si>
    <t>JUMLAH PEMOTONGAN</t>
  </si>
  <si>
    <t>NAMA</t>
  </si>
  <si>
    <t>TUNJ. KELUARGA</t>
  </si>
  <si>
    <t>TUNJ. STRUKTURAL JABATAN</t>
  </si>
  <si>
    <t>TUNJ. FUNGSIONAL</t>
  </si>
  <si>
    <t>TUNJ. TRANSPORTASI</t>
  </si>
  <si>
    <t>TUNJ. TEPAT WAKTU DATANG</t>
  </si>
  <si>
    <t>TUNJ. TIDAK CEPAT PULANG</t>
  </si>
  <si>
    <t>TUNJ. PRESTASI KINERJA</t>
  </si>
  <si>
    <t>ISTRI</t>
  </si>
  <si>
    <t>JML ANAK</t>
  </si>
  <si>
    <t>ANAK</t>
  </si>
  <si>
    <t>JUMLAH PENDAPATAN (TOTAL 1, 2,)</t>
  </si>
  <si>
    <t>TOTAL KAFALAH YANG DITERIMA</t>
  </si>
  <si>
    <t>KAFALAH POKOK</t>
  </si>
  <si>
    <t>No</t>
  </si>
  <si>
    <t>Total</t>
  </si>
  <si>
    <t>TUNJ. PENGABDIAN</t>
  </si>
  <si>
    <t>PINJAMAN</t>
  </si>
  <si>
    <t>TOTAL PENDAPATAN WAJIB</t>
  </si>
  <si>
    <t>TOTAL PENDAPATAN INSENTIF</t>
  </si>
  <si>
    <t>POTONGAN</t>
  </si>
  <si>
    <t>Nama</t>
  </si>
  <si>
    <t>RINCIAN PENDAPATAN</t>
  </si>
  <si>
    <t>SLIP GAJI</t>
  </si>
  <si>
    <t>Hari Efektif Kerja</t>
  </si>
  <si>
    <t>Kehadiran</t>
  </si>
  <si>
    <t>Tidak Hadir</t>
  </si>
  <si>
    <t>Hadir Terlambat</t>
  </si>
  <si>
    <t>A. Pendapatan Wajib</t>
  </si>
  <si>
    <t>1. Gaji Pokok</t>
  </si>
  <si>
    <t>2. Istri</t>
  </si>
  <si>
    <t>3. Anak</t>
  </si>
  <si>
    <t>Total A</t>
  </si>
  <si>
    <t>B. Tunjangan Pendapatan</t>
  </si>
  <si>
    <t>1. Stuktural</t>
  </si>
  <si>
    <t>3. Fungsional</t>
  </si>
  <si>
    <t>4. Pendapatan Hari Efektif :</t>
  </si>
  <si>
    <t>a. Absensi Kedatangan</t>
  </si>
  <si>
    <t>b. Absensi Kepulangan</t>
  </si>
  <si>
    <t>c. Transportasi</t>
  </si>
  <si>
    <t>" Hai orang-orang beriman, makanlah diantara rezeki yang baik-baik kami berikan kepadamu dan bersyukurlah kepada Allah, jika benar-benar kepada Nya kamu menyembah</t>
  </si>
  <si>
    <t>6. KJM</t>
  </si>
  <si>
    <t>7. Penilaian Kinerja</t>
  </si>
  <si>
    <t>Total B</t>
  </si>
  <si>
    <t>C. Pemotongan</t>
  </si>
  <si>
    <t>1. Ta`awun</t>
  </si>
  <si>
    <t>3. Pinjaman</t>
  </si>
  <si>
    <t>Total C</t>
  </si>
  <si>
    <t>Rekapitulasi Akhir</t>
  </si>
  <si>
    <t>Total A,B</t>
  </si>
  <si>
    <t>Total Pendapatan</t>
  </si>
  <si>
    <t>Dicetak :</t>
  </si>
  <si>
    <t>Ta`awun</t>
  </si>
  <si>
    <t>LAMA MENGABDI</t>
  </si>
  <si>
    <t>Jumlah Pemotongan SIM-T</t>
  </si>
  <si>
    <t>2. SIM-T</t>
  </si>
  <si>
    <t>Tidak Absen Masuk</t>
  </si>
  <si>
    <t>Cepat Pulang</t>
  </si>
  <si>
    <t>TIDAK ABSEN MASUK</t>
  </si>
  <si>
    <t>TIDAK ABSEN PULANG</t>
  </si>
  <si>
    <t>DURASI SIM-T &amp; Keterlambatan Mengajar</t>
  </si>
  <si>
    <t>9. Tunjangan Apresiasi</t>
  </si>
  <si>
    <t>TUNJ. APRESIASI</t>
  </si>
  <si>
    <t xml:space="preserve">REKAPAN KAFALAH BULAN </t>
  </si>
  <si>
    <t>Predikat Kinerja</t>
  </si>
  <si>
    <t>A</t>
  </si>
  <si>
    <t>Blok Kuning Cuti</t>
  </si>
  <si>
    <t>Blok Merah kena Pelanggaran</t>
  </si>
  <si>
    <t>JUMLAH JAM MENGAJAR</t>
  </si>
  <si>
    <t>TOTAL TUNJ. FUNGSIONAL</t>
  </si>
  <si>
    <t>DRAFT STRUKTUR  KAFALAH SDIT INSAN RABBANI</t>
  </si>
  <si>
    <t>TAHUN AJARAN 2026-2027</t>
  </si>
  <si>
    <t>SDIT INSAN RABBANI</t>
  </si>
  <si>
    <t>DATA BASE TENAGA PEGAWAI</t>
  </si>
  <si>
    <t xml:space="preserve">YAYASAN PENDIDIKAN </t>
  </si>
  <si>
    <t xml:space="preserve">UNIT SD IT </t>
  </si>
  <si>
    <t>TAHUN AJARAN 2024-2025</t>
  </si>
  <si>
    <t>Jenis Kelamin</t>
  </si>
  <si>
    <t>Tanggal Masuk</t>
  </si>
  <si>
    <t>Today</t>
  </si>
  <si>
    <t>Masa Kerja</t>
  </si>
  <si>
    <t>Status Kepegawaian  (PP/PK/PT/INVAL)</t>
  </si>
  <si>
    <t>Golongan Kepegawaian</t>
  </si>
  <si>
    <t>NUPTK</t>
  </si>
  <si>
    <t>Jabatan</t>
  </si>
  <si>
    <t>NIY</t>
  </si>
  <si>
    <t>Tempat Kelahiran</t>
  </si>
  <si>
    <t>Tanggal Lahir</t>
  </si>
  <si>
    <t>Usia</t>
  </si>
  <si>
    <t>NIK</t>
  </si>
  <si>
    <t>Alamat KTP</t>
  </si>
  <si>
    <t>Alamat Domisili Sekarang</t>
  </si>
  <si>
    <t>Ijazah Terakhir</t>
  </si>
  <si>
    <t>Ijazah Terakhir / Jurusan / PT</t>
  </si>
  <si>
    <t>Status Pernikahan</t>
  </si>
  <si>
    <t>Nama Suami/Istri</t>
  </si>
  <si>
    <t>No. BPJS Kesehatan</t>
  </si>
  <si>
    <t>NPWP</t>
  </si>
  <si>
    <t>Jumlah Anak</t>
  </si>
  <si>
    <t>No. Telp</t>
  </si>
  <si>
    <t>Nama Murrobbi/Murobbiyah</t>
  </si>
  <si>
    <t>E-Mail</t>
  </si>
  <si>
    <t>Pengalaman Kerja</t>
  </si>
  <si>
    <t>Pelatihan Yang telah diikuti</t>
  </si>
  <si>
    <t>Skill (kemampuan) yang dimiliki</t>
  </si>
  <si>
    <t>Skill (kemampuan) yang ingin ditingkatkan</t>
  </si>
  <si>
    <t>Kemampuan Berbahasa Asing</t>
  </si>
  <si>
    <t>Keterangan</t>
  </si>
  <si>
    <t>Pribadi</t>
  </si>
  <si>
    <t>Keluarga</t>
  </si>
  <si>
    <t>Hasmiati, S.Pd</t>
  </si>
  <si>
    <t>PR</t>
  </si>
  <si>
    <t>PT</t>
  </si>
  <si>
    <t>Wali Kelas ( Mengaji )</t>
  </si>
  <si>
    <t>0109197905201302005</t>
  </si>
  <si>
    <t>Macorawalie</t>
  </si>
  <si>
    <t>S1</t>
  </si>
  <si>
    <t>S1/BHS.INDONESIA/STKIP
MUHAMMADIYAH/2002</t>
  </si>
  <si>
    <t>Menikah</t>
  </si>
  <si>
    <t>Sudarsono</t>
  </si>
  <si>
    <t>-</t>
  </si>
  <si>
    <t>Nur Fajriani Usman, S.S</t>
  </si>
  <si>
    <t>1212199307201602010</t>
  </si>
  <si>
    <t>Same</t>
  </si>
  <si>
    <t>Hawis</t>
  </si>
  <si>
    <t>Ade Asmi Pratiwi, SE</t>
  </si>
  <si>
    <t>3010199301201702011</t>
  </si>
  <si>
    <t>Balantang</t>
  </si>
  <si>
    <t>Belum Menikah</t>
  </si>
  <si>
    <t>Asrina, S.Pd</t>
  </si>
  <si>
    <t>2908198307201702015</t>
  </si>
  <si>
    <t>Sungguminasa</t>
  </si>
  <si>
    <t>Andi Kastiar Latif, S.Pd</t>
  </si>
  <si>
    <t>2312199307201702013</t>
  </si>
  <si>
    <t>Sabah</t>
  </si>
  <si>
    <t>Harmawati. B, S.Pd</t>
  </si>
  <si>
    <t>3012199407201702014</t>
  </si>
  <si>
    <t>Malili</t>
  </si>
  <si>
    <t>SMA</t>
  </si>
  <si>
    <t>Nurazizah,S.Pd</t>
  </si>
  <si>
    <t>Mengaji</t>
  </si>
  <si>
    <t>2907199001201702016</t>
  </si>
  <si>
    <t>Makassar</t>
  </si>
  <si>
    <t>Sri Rahayu, S.Pd</t>
  </si>
  <si>
    <t>Mapel (Mengaji )</t>
  </si>
  <si>
    <t>2110199502201802018</t>
  </si>
  <si>
    <t>Barantang</t>
  </si>
  <si>
    <t>Susilawati, S.Pd</t>
  </si>
  <si>
    <t>0709199003201802020</t>
  </si>
  <si>
    <t>Malaysia</t>
  </si>
  <si>
    <t>Rismawati, S.Pd</t>
  </si>
  <si>
    <t>2505199507201802022</t>
  </si>
  <si>
    <t>Ertika, S.Pd</t>
  </si>
  <si>
    <t>2703199607202502064</t>
  </si>
  <si>
    <t>Tondojolo</t>
  </si>
  <si>
    <t>Kurniati, A.MA, Pd. OR</t>
  </si>
  <si>
    <t xml:space="preserve">Mapel </t>
  </si>
  <si>
    <t>0512198010201802024</t>
  </si>
  <si>
    <t>Sorowako</t>
  </si>
  <si>
    <t>Uppi Erniati H, S.Pd</t>
  </si>
  <si>
    <t xml:space="preserve">Wali Kelas </t>
  </si>
  <si>
    <t>1410198901201902026</t>
  </si>
  <si>
    <t>Cerekang</t>
  </si>
  <si>
    <t>Dian Ekaviyanti Rusydi,SP</t>
  </si>
  <si>
    <t>0407198501201902027</t>
  </si>
  <si>
    <t>Selayar</t>
  </si>
  <si>
    <t>Hasriani, S.Pd</t>
  </si>
  <si>
    <t>Wali Kelas (Mengaji)</t>
  </si>
  <si>
    <t>2303199508201902029</t>
  </si>
  <si>
    <t>Kadong-kadong</t>
  </si>
  <si>
    <t>Darmawati</t>
  </si>
  <si>
    <t>Hildawati Dulla, S.Pd</t>
  </si>
  <si>
    <t>1612199501201902028</t>
  </si>
  <si>
    <t>Kawata</t>
  </si>
  <si>
    <t>085 237 314 250</t>
  </si>
  <si>
    <t>Akbar Ali, S. Pd.I</t>
  </si>
  <si>
    <t>Iin, S.Pd</t>
  </si>
  <si>
    <t>2701199408201902031</t>
  </si>
  <si>
    <t>Dadeko</t>
  </si>
  <si>
    <t>Gisjawinta Ardo Maretza N</t>
  </si>
  <si>
    <t>2203199901201902030</t>
  </si>
  <si>
    <t>Jayapura</t>
  </si>
  <si>
    <t xml:space="preserve">Ita Nurhasanah S.Pd </t>
  </si>
  <si>
    <t>Mapel (Mengaji)</t>
  </si>
  <si>
    <t>1206199407202002031</t>
  </si>
  <si>
    <t>Tawakua</t>
  </si>
  <si>
    <t>Nurhaeni, S.Pd., M.Pd</t>
  </si>
  <si>
    <t>PK</t>
  </si>
  <si>
    <t>1509199606202502065</t>
  </si>
  <si>
    <t>Bone</t>
  </si>
  <si>
    <t>Izzuddin, S. Pd.I</t>
  </si>
  <si>
    <t xml:space="preserve">Hidayatun Nisa S.Pd </t>
  </si>
  <si>
    <t>Mapel(Mengaji)</t>
  </si>
  <si>
    <t>0505200007202202050</t>
  </si>
  <si>
    <t>Komba</t>
  </si>
  <si>
    <t>Hizratul Laily S.H</t>
  </si>
  <si>
    <t>0709199707202102038</t>
  </si>
  <si>
    <t>Sumber Ase</t>
  </si>
  <si>
    <t xml:space="preserve">Dwi Oktaviana S.Pd </t>
  </si>
  <si>
    <t>Wali Kelas</t>
  </si>
  <si>
    <t>2610199807202102040</t>
  </si>
  <si>
    <t>Bone-bone</t>
  </si>
  <si>
    <t>Nurbayani</t>
  </si>
  <si>
    <t>Julianti S.Pd</t>
  </si>
  <si>
    <t>1207200001202302053</t>
  </si>
  <si>
    <t>Lakawali</t>
  </si>
  <si>
    <t>Nadia Azzahrah</t>
  </si>
  <si>
    <t>Guru Mapel (mengaji)</t>
  </si>
  <si>
    <t>2703200607202402059</t>
  </si>
  <si>
    <t>Wulasi</t>
  </si>
  <si>
    <t>081 339 614 294</t>
  </si>
  <si>
    <t>Nur Halisah Aminun S.Pd</t>
  </si>
  <si>
    <t>0604199901202202049</t>
  </si>
  <si>
    <t>Sri Mulyani S.Pd</t>
  </si>
  <si>
    <t>1705199811202102046</t>
  </si>
  <si>
    <t>Tator</t>
  </si>
  <si>
    <t xml:space="preserve">Saidatul Musayyadah S.Pd </t>
  </si>
  <si>
    <t>0112199802202202048</t>
  </si>
  <si>
    <t xml:space="preserve">Reski Elvira Sari S.Pd </t>
  </si>
  <si>
    <t>Wali kelas</t>
  </si>
  <si>
    <t>0707199909202202052</t>
  </si>
  <si>
    <t>Andini Putri Patrisia</t>
  </si>
  <si>
    <t>TU</t>
  </si>
  <si>
    <t>Maya Puspita Djasnah S.Pd</t>
  </si>
  <si>
    <t>1903198709202202051</t>
  </si>
  <si>
    <t>Palopo</t>
  </si>
  <si>
    <t>Pernah Mengajar di SDN 221 Cempa</t>
  </si>
  <si>
    <t>Elvira Fitriana S.Pd</t>
  </si>
  <si>
    <t>2105199909202302057</t>
  </si>
  <si>
    <t>Nabire</t>
  </si>
  <si>
    <t>kasma3546@gmail.com</t>
  </si>
  <si>
    <t>Maya Prasetya S.E</t>
  </si>
  <si>
    <t>1303199809202302056</t>
  </si>
  <si>
    <t>Rampoang</t>
  </si>
  <si>
    <t>jumatizan@gmail.com</t>
  </si>
  <si>
    <t>Trik Matematika cepat &amp; Tepat</t>
  </si>
  <si>
    <t>Muthia</t>
  </si>
  <si>
    <t>2401200607202402060</t>
  </si>
  <si>
    <t>Macrowalie</t>
  </si>
  <si>
    <t>ditasafitri419@gmail.com</t>
  </si>
  <si>
    <t xml:space="preserve">Sabaria S.Pd </t>
  </si>
  <si>
    <t>1210199610202402062</t>
  </si>
  <si>
    <t>Kalola</t>
  </si>
  <si>
    <t>nuraisyahustar@gmail.com</t>
  </si>
  <si>
    <t>Hera Nasruddin, S.Pd</t>
  </si>
  <si>
    <t>2408200008202502066</t>
  </si>
  <si>
    <t>Takalar</t>
  </si>
  <si>
    <t>nafsiamarasabessy94@gmail.com</t>
  </si>
  <si>
    <t>Guru di SMPIT Wihdatul Ummah Takalar</t>
  </si>
  <si>
    <t>Desain Grafis ( Corel Draw )</t>
  </si>
  <si>
    <t>CS</t>
  </si>
  <si>
    <t>Misnatun</t>
  </si>
  <si>
    <t>Periode 26 Juni 2026 s/d 25 Juli 2026</t>
  </si>
  <si>
    <t>Jumlah Pengabdian</t>
  </si>
  <si>
    <t>Kehadiran Real</t>
  </si>
  <si>
    <t>Starata</t>
  </si>
  <si>
    <t>SD</t>
  </si>
  <si>
    <t>S2</t>
  </si>
  <si>
    <t>Status Pegawai</t>
  </si>
  <si>
    <t>TUNJ. KJM</t>
  </si>
  <si>
    <t xml:space="preserve">UNIT TKIT </t>
  </si>
  <si>
    <t>SITI FARIDAH,S.Pd,Paud.,Gr</t>
  </si>
  <si>
    <t>Kepsek</t>
  </si>
  <si>
    <t>1802199006200805001</t>
  </si>
  <si>
    <t>Jakarta</t>
  </si>
  <si>
    <t>IDAYATI,S.Pd.Gr</t>
  </si>
  <si>
    <t>Bendahara/Wali Kelas</t>
  </si>
  <si>
    <t>1911199708202105005</t>
  </si>
  <si>
    <t>Pare-pare</t>
  </si>
  <si>
    <t>NURHIDAYANTY,SE</t>
  </si>
  <si>
    <t>2112199206202205006</t>
  </si>
  <si>
    <t>Pangkep</t>
  </si>
  <si>
    <t>NURMIANTI</t>
  </si>
  <si>
    <t>1604199207202405008</t>
  </si>
  <si>
    <t>Turmandi</t>
  </si>
  <si>
    <t>FITRIANI</t>
  </si>
  <si>
    <t>NURAINI PUSPITA,S.Pdi</t>
  </si>
  <si>
    <t>Luwu Timur</t>
  </si>
  <si>
    <t xml:space="preserve">UNIT SMPIT </t>
  </si>
  <si>
    <t>Rahmat Saputra, S.H., M.Pd.</t>
  </si>
  <si>
    <t>Kepala Sekolah</t>
  </si>
  <si>
    <t>2610199607201915001</t>
  </si>
  <si>
    <t>Sumber Agung</t>
  </si>
  <si>
    <t>Gustiana</t>
  </si>
  <si>
    <t>Samsul Bahri, S.Pd</t>
  </si>
  <si>
    <t>16081994072018688</t>
  </si>
  <si>
    <t>Luwu</t>
  </si>
  <si>
    <t>Dahlima Jufri</t>
  </si>
  <si>
    <t>Andi Bay, S.Pd.I</t>
  </si>
  <si>
    <t>28081986072013004</t>
  </si>
  <si>
    <t>Rete</t>
  </si>
  <si>
    <t>Siti Farida</t>
  </si>
  <si>
    <t>Guru Mapel (Mengaji)</t>
  </si>
  <si>
    <t>La Ode Pola Kota, S.Pd.I</t>
  </si>
  <si>
    <t>1506197807202315015</t>
  </si>
  <si>
    <t>Mabodo</t>
  </si>
  <si>
    <t>Isruddin</t>
  </si>
  <si>
    <t>Bendahara, Pembina Asrama</t>
  </si>
  <si>
    <t>0902199207201915006</t>
  </si>
  <si>
    <t>Ahilulu</t>
  </si>
  <si>
    <t>Sri Rahayu</t>
  </si>
  <si>
    <t>Dahlima Jufri, S.Pd</t>
  </si>
  <si>
    <t>Wali Kelas, Pembina Asrama</t>
  </si>
  <si>
    <t>05051995072018689</t>
  </si>
  <si>
    <t>Minanga</t>
  </si>
  <si>
    <t>Samsul Bahri</t>
  </si>
  <si>
    <t>Gustiana R, S.Pd</t>
  </si>
  <si>
    <t>Guru Mapel (Umum)</t>
  </si>
  <si>
    <t>1508198506201302008</t>
  </si>
  <si>
    <t>Labokong-Soppeng</t>
  </si>
  <si>
    <t>Rahmat Saputra</t>
  </si>
  <si>
    <t>Hikmawati, S.Pd</t>
  </si>
  <si>
    <t>Bendahara, TU, Wali Kelas</t>
  </si>
  <si>
    <t>2810199407201915010</t>
  </si>
  <si>
    <t>Asma Djaling, S.Pd</t>
  </si>
  <si>
    <t xml:space="preserve"> 1105198207202215016</t>
  </si>
  <si>
    <t>Rumah Tiga</t>
  </si>
  <si>
    <t>Muhammad Idham</t>
  </si>
  <si>
    <t>Nursakia, S.H</t>
  </si>
  <si>
    <t>Pembina Asrama</t>
  </si>
  <si>
    <t>090920252606202515019</t>
  </si>
  <si>
    <t xml:space="preserve">UNIT SMA PPIB </t>
  </si>
  <si>
    <t>Irwan Jaya</t>
  </si>
  <si>
    <t>Siti Aminah</t>
  </si>
  <si>
    <t xml:space="preserve">UNIT PONDOK </t>
  </si>
  <si>
    <t>Umar, S.Pd.I., S.H., M.Pd</t>
  </si>
  <si>
    <t>LK</t>
  </si>
  <si>
    <t>Pimpinan Pondok</t>
  </si>
  <si>
    <t>2907199001201806001</t>
  </si>
  <si>
    <t>Ahmad</t>
  </si>
  <si>
    <t>PJ. Internal Pondok</t>
  </si>
  <si>
    <t>Risman</t>
  </si>
  <si>
    <t>Sambo</t>
  </si>
  <si>
    <t>Mubin</t>
  </si>
  <si>
    <t>Maswan</t>
  </si>
  <si>
    <t>Nurjamilah</t>
  </si>
  <si>
    <t>TU, Operaotor</t>
  </si>
  <si>
    <t>Hasrul</t>
  </si>
  <si>
    <t>Wahyuni Syam Nur Hornai</t>
  </si>
  <si>
    <t>.1611200109202406019</t>
  </si>
  <si>
    <t>Lampia</t>
  </si>
  <si>
    <t>Idha Kuratun Ayuni Hornai</t>
  </si>
  <si>
    <t>Pj. Memasak, Pembina</t>
  </si>
  <si>
    <t>2505200011202406025</t>
  </si>
  <si>
    <t>Fitriani Hornai</t>
  </si>
  <si>
    <t>Ossu</t>
  </si>
  <si>
    <t>Irma Muh. Seni S.Pd</t>
  </si>
  <si>
    <t>1303199301202506026</t>
  </si>
  <si>
    <t>Nayla</t>
  </si>
  <si>
    <t>Nashwa</t>
  </si>
  <si>
    <t>Harianto</t>
  </si>
  <si>
    <t>TK</t>
  </si>
  <si>
    <t>SMP</t>
  </si>
  <si>
    <t>Ponpes</t>
  </si>
  <si>
    <t>TUNJ. PEMBINA</t>
  </si>
  <si>
    <t>JUMLAH KELEBIHAN JAM MENGAJAR</t>
  </si>
  <si>
    <t>Pembina KPI</t>
  </si>
  <si>
    <t>Israeni, S.Pd.</t>
  </si>
  <si>
    <t>Enrekang</t>
  </si>
  <si>
    <t>Pattiroang</t>
  </si>
  <si>
    <t>2107198401201906004</t>
  </si>
  <si>
    <t>3005198107202500007</t>
  </si>
  <si>
    <t>Baucau</t>
  </si>
  <si>
    <t>020519881220220629</t>
  </si>
  <si>
    <t>Polewali Mandar</t>
  </si>
  <si>
    <t>UNIT</t>
  </si>
  <si>
    <t>TOTAL KAFALAH</t>
  </si>
  <si>
    <t>Rifki</t>
  </si>
  <si>
    <t>Irfan</t>
  </si>
  <si>
    <t>Guru Inval/Honor</t>
  </si>
  <si>
    <t xml:space="preserve">Guru </t>
  </si>
  <si>
    <t>TUNJ. JM</t>
  </si>
  <si>
    <t>Inval</t>
  </si>
  <si>
    <t>Non Tendik</t>
  </si>
  <si>
    <t>Ratna</t>
  </si>
  <si>
    <t>Idha Kuratun Ayuni</t>
  </si>
  <si>
    <t>Dahlima</t>
  </si>
  <si>
    <t>Nursaki</t>
  </si>
  <si>
    <t>Satpam</t>
  </si>
  <si>
    <t>PJ Masak</t>
  </si>
  <si>
    <t>TUNJ. PONDOK</t>
  </si>
  <si>
    <t>KJM</t>
  </si>
  <si>
    <t>Fauziah</t>
  </si>
  <si>
    <t>Nabila</t>
  </si>
  <si>
    <t>Iffa</t>
  </si>
  <si>
    <t>Bendahar Yayasan</t>
  </si>
  <si>
    <t>Tidak Absen Pulang</t>
  </si>
  <si>
    <t>2. Pengabdian</t>
  </si>
  <si>
    <t>5. KJM</t>
  </si>
  <si>
    <t>8. Tunjangan Apresiasi</t>
  </si>
  <si>
    <t>TKIT INSAN RABBANI</t>
  </si>
  <si>
    <t>SMPIT</t>
  </si>
  <si>
    <t>4. Pembina</t>
  </si>
  <si>
    <t>5. Pendapatan Hari Efektif :</t>
  </si>
  <si>
    <t>4. Pembina Pondok</t>
  </si>
  <si>
    <t>SMA PIPB</t>
  </si>
  <si>
    <t>PEMOTONGAN LUAR TANGGUNGAN</t>
  </si>
  <si>
    <t>Persen (%) Cuti Luar Tanggungan</t>
  </si>
  <si>
    <t>4. Pemotongan Luar Cuti</t>
  </si>
  <si>
    <t>DRAFT STRUKTUR  KAFALAH PONPES</t>
  </si>
  <si>
    <t>DRAFT STRUKTUR  KAFALAH SMA</t>
  </si>
  <si>
    <t>DRAFT STRUKTUR  KAFALAH SMP</t>
  </si>
  <si>
    <t>DRAFT STRUKTUR  KAFALAH TK</t>
  </si>
  <si>
    <t xml:space="preserve">Tabel Gaji Pokok Guru Tetap YPWI Luwu Timur </t>
  </si>
  <si>
    <t>Jenjang</t>
  </si>
  <si>
    <t>Masa Kerja/Pendidikan</t>
  </si>
  <si>
    <t>2 tahun</t>
  </si>
  <si>
    <t>3 - 4 Tahun</t>
  </si>
  <si>
    <t>5 - 6 Tahun</t>
  </si>
  <si>
    <t>7 - 8 Tahun</t>
  </si>
  <si>
    <t xml:space="preserve">9-10 Tahun </t>
  </si>
  <si>
    <t>11 - 12 Tahun</t>
  </si>
  <si>
    <t>13-14 Tahun</t>
  </si>
  <si>
    <t>15-16 Tahun</t>
  </si>
  <si>
    <t>17-18 tahun</t>
  </si>
  <si>
    <t>19-20 tahun</t>
  </si>
  <si>
    <t>Ketua YPWI Luwu Timur</t>
  </si>
  <si>
    <t>Sudarsono, S.Ag</t>
  </si>
  <si>
    <t xml:space="preserve">Tabel Gaji Pokok Guru Kontrak YPWI Luwu Timur </t>
  </si>
  <si>
    <r>
      <t xml:space="preserve"> </t>
    </r>
    <r>
      <rPr>
        <sz val="11"/>
        <color theme="1"/>
        <rFont val="Calibri"/>
        <family val="2"/>
      </rPr>
      <t>≤ 1 Tahun</t>
    </r>
  </si>
  <si>
    <t>1 - 3 Tahun</t>
  </si>
  <si>
    <t>SMA/PONPES</t>
  </si>
  <si>
    <t>Konversi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</si>
</sst>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[$Rp-421]* #,##0.00_-;\-[$Rp-421]* #,##0.00_-;_-[$Rp-421]* &quot;-&quot;??_-;_-@_-"/>
    <numFmt numFmtId="168" formatCode="[$-421]dd\ mmmm\ yyyy;@"/>
    <numFmt numFmtId="169" formatCode="_(* #,##0_);_(* \(#,##0\);_(* &quot;-&quot;??_);_(@_)"/>
    <numFmt numFmtId="170" formatCode="&quot;Rp&quot;#,##0"/>
  </numFmts>
  <fonts count="49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8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charset val="1"/>
      <scheme val="minor"/>
    </font>
    <font>
      <b/>
      <sz val="16"/>
      <name val="Arial Narrow"/>
      <family val="2"/>
    </font>
    <font>
      <sz val="11"/>
      <name val="Arial Narrow"/>
      <family val="2"/>
    </font>
    <font>
      <sz val="11"/>
      <color rgb="FFFF0000"/>
      <name val="Arial Narrow"/>
      <family val="2"/>
    </font>
    <font>
      <b/>
      <sz val="1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2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1"/>
      <color theme="1"/>
      <name val="Californian FB"/>
      <family val="1"/>
    </font>
    <font>
      <b/>
      <sz val="11"/>
      <color rgb="FF92D050"/>
      <name val="Californian FB"/>
      <family val="1"/>
    </font>
    <font>
      <b/>
      <sz val="11"/>
      <color theme="1"/>
      <name val="Californian FB"/>
      <family val="1"/>
    </font>
    <font>
      <sz val="11"/>
      <color rgb="FFFF0000"/>
      <name val="Californian FB"/>
      <family val="1"/>
    </font>
    <font>
      <b/>
      <sz val="11"/>
      <name val="Californian FB"/>
      <family val="1"/>
    </font>
    <font>
      <b/>
      <sz val="11"/>
      <color rgb="FF33CC33"/>
      <name val="Californian FB"/>
      <family val="1"/>
    </font>
    <font>
      <b/>
      <sz val="16"/>
      <color theme="1"/>
      <name val="Californian FB"/>
      <family val="1"/>
    </font>
    <font>
      <sz val="10"/>
      <name val="Arial"/>
      <family val="2"/>
    </font>
    <font>
      <sz val="11"/>
      <color theme="0"/>
      <name val="Arial Narrow"/>
      <family val="2"/>
    </font>
    <font>
      <b/>
      <sz val="8"/>
      <color theme="0"/>
      <name val="Arial Narrow"/>
      <family val="2"/>
    </font>
    <font>
      <sz val="9"/>
      <color theme="0"/>
      <name val="Calibri "/>
      <charset val="1"/>
    </font>
    <font>
      <b/>
      <sz val="14"/>
      <name val="Arial Narrow"/>
      <family val="2"/>
    </font>
    <font>
      <sz val="11"/>
      <color theme="1"/>
      <name val="Calibri"/>
      <family val="2"/>
      <scheme val="minor"/>
    </font>
    <font>
      <b/>
      <sz val="14"/>
      <color theme="1"/>
      <name val="NewsGoth BT"/>
      <family val="2"/>
    </font>
    <font>
      <sz val="14"/>
      <color theme="1"/>
      <name val="NewsGoth BT"/>
      <family val="2"/>
    </font>
    <font>
      <b/>
      <sz val="12"/>
      <color theme="1"/>
      <name val="NewsGoth BT"/>
      <family val="2"/>
    </font>
    <font>
      <sz val="9"/>
      <color theme="1"/>
      <name val="NewsGoth BT"/>
      <family val="2"/>
    </font>
    <font>
      <b/>
      <sz val="11"/>
      <color theme="1"/>
      <name val="NewsGoth BT"/>
      <family val="2"/>
    </font>
    <font>
      <sz val="9"/>
      <color theme="1"/>
      <name val="Tahoma"/>
      <family val="2"/>
    </font>
    <font>
      <sz val="9"/>
      <name val="NewsGoth BT"/>
      <family val="2"/>
    </font>
    <font>
      <b/>
      <sz val="9"/>
      <name val="Tahoma"/>
      <family val="2"/>
    </font>
    <font>
      <sz val="9"/>
      <name val="Tahoma"/>
      <family val="2"/>
    </font>
    <font>
      <b/>
      <sz val="8"/>
      <color rgb="FF000000"/>
      <name val="Arial Narrow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name val="Calibri Light"/>
      <family val="2"/>
    </font>
    <font>
      <sz val="10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859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BF7"/>
        <bgColor indexed="64"/>
      </patternFill>
    </fill>
    <fill>
      <patternFill patternType="solid">
        <fgColor rgb="FFF8CAAB"/>
        <bgColor rgb="FFFFFFFF"/>
      </patternFill>
    </fill>
    <fill>
      <patternFill patternType="solid">
        <fgColor theme="6" tint="0.59999389629810485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1">
    <xf numFmtId="0" fontId="0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29" fillId="0" borderId="0"/>
    <xf numFmtId="0" fontId="41" fillId="0" borderId="0">
      <alignment vertical="center"/>
    </xf>
    <xf numFmtId="0" fontId="2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</cellStyleXfs>
  <cellXfs count="294">
    <xf numFmtId="0" fontId="0" fillId="0" borderId="0" xfId="0"/>
    <xf numFmtId="0" fontId="4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9" fillId="2" borderId="0" xfId="0" applyFont="1" applyFill="1"/>
    <xf numFmtId="0" fontId="9" fillId="0" borderId="2" xfId="0" applyFont="1" applyBorder="1"/>
    <xf numFmtId="1" fontId="9" fillId="2" borderId="2" xfId="1" applyNumberFormat="1" applyFont="1" applyFill="1" applyBorder="1"/>
    <xf numFmtId="0" fontId="13" fillId="0" borderId="0" xfId="0" applyFont="1"/>
    <xf numFmtId="0" fontId="15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14" fillId="13" borderId="2" xfId="0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 wrapText="1"/>
    </xf>
    <xf numFmtId="0" fontId="14" fillId="13" borderId="2" xfId="0" applyFont="1" applyFill="1" applyBorder="1" applyAlignment="1">
      <alignment horizontal="center" vertical="center" wrapText="1"/>
    </xf>
    <xf numFmtId="167" fontId="15" fillId="2" borderId="2" xfId="0" applyNumberFormat="1" applyFont="1" applyFill="1" applyBorder="1" applyAlignment="1">
      <alignment horizontal="center" vertical="center" wrapText="1"/>
    </xf>
    <xf numFmtId="167" fontId="12" fillId="13" borderId="2" xfId="0" applyNumberFormat="1" applyFont="1" applyFill="1" applyBorder="1"/>
    <xf numFmtId="167" fontId="16" fillId="0" borderId="2" xfId="0" applyNumberFormat="1" applyFont="1" applyBorder="1"/>
    <xf numFmtId="1" fontId="9" fillId="2" borderId="2" xfId="2" applyNumberFormat="1" applyFont="1" applyFill="1" applyBorder="1" applyAlignment="1" applyProtection="1">
      <alignment horizontal="center" vertical="center" wrapText="1"/>
      <protection locked="0"/>
    </xf>
    <xf numFmtId="0" fontId="9" fillId="2" borderId="2" xfId="0" applyFont="1" applyFill="1" applyBorder="1" applyAlignment="1">
      <alignment horizontal="center" vertical="center"/>
    </xf>
    <xf numFmtId="0" fontId="17" fillId="0" borderId="0" xfId="0" applyFont="1"/>
    <xf numFmtId="0" fontId="17" fillId="0" borderId="9" xfId="0" applyFont="1" applyBorder="1"/>
    <xf numFmtId="0" fontId="17" fillId="0" borderId="10" xfId="0" applyFont="1" applyBorder="1"/>
    <xf numFmtId="0" fontId="17" fillId="0" borderId="12" xfId="0" applyFont="1" applyBorder="1"/>
    <xf numFmtId="0" fontId="17" fillId="0" borderId="17" xfId="0" applyFont="1" applyBorder="1"/>
    <xf numFmtId="0" fontId="18" fillId="0" borderId="17" xfId="0" applyFont="1" applyBorder="1"/>
    <xf numFmtId="0" fontId="19" fillId="0" borderId="12" xfId="0" applyFont="1" applyBorder="1"/>
    <xf numFmtId="0" fontId="20" fillId="0" borderId="12" xfId="0" applyFont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0" fontId="17" fillId="0" borderId="14" xfId="0" applyFont="1" applyBorder="1"/>
    <xf numFmtId="0" fontId="17" fillId="0" borderId="15" xfId="0" applyFont="1" applyBorder="1"/>
    <xf numFmtId="0" fontId="19" fillId="15" borderId="17" xfId="0" applyFont="1" applyFill="1" applyBorder="1"/>
    <xf numFmtId="167" fontId="17" fillId="0" borderId="13" xfId="0" applyNumberFormat="1" applyFont="1" applyBorder="1"/>
    <xf numFmtId="167" fontId="18" fillId="0" borderId="13" xfId="0" applyNumberFormat="1" applyFont="1" applyBorder="1"/>
    <xf numFmtId="167" fontId="17" fillId="15" borderId="13" xfId="0" applyNumberFormat="1" applyFont="1" applyFill="1" applyBorder="1"/>
    <xf numFmtId="167" fontId="19" fillId="15" borderId="13" xfId="0" applyNumberFormat="1" applyFont="1" applyFill="1" applyBorder="1"/>
    <xf numFmtId="0" fontId="17" fillId="0" borderId="0" xfId="0" applyFont="1" applyAlignment="1">
      <alignment horizontal="left" vertical="center"/>
    </xf>
    <xf numFmtId="167" fontId="17" fillId="0" borderId="13" xfId="3" applyNumberFormat="1" applyFont="1" applyBorder="1"/>
    <xf numFmtId="167" fontId="9" fillId="2" borderId="2" xfId="1" applyNumberFormat="1" applyFont="1" applyFill="1" applyBorder="1"/>
    <xf numFmtId="167" fontId="9" fillId="2" borderId="2" xfId="0" applyNumberFormat="1" applyFont="1" applyFill="1" applyBorder="1"/>
    <xf numFmtId="167" fontId="9" fillId="0" borderId="2" xfId="1" applyNumberFormat="1" applyFont="1" applyBorder="1"/>
    <xf numFmtId="167" fontId="9" fillId="0" borderId="2" xfId="1" applyNumberFormat="1" applyFont="1" applyBorder="1" applyAlignment="1">
      <alignment horizontal="left" vertical="center"/>
    </xf>
    <xf numFmtId="0" fontId="21" fillId="0" borderId="12" xfId="0" applyFont="1" applyBorder="1" applyAlignment="1">
      <alignment horizontal="center" vertical="center" wrapText="1"/>
    </xf>
    <xf numFmtId="167" fontId="9" fillId="0" borderId="21" xfId="0" applyNumberFormat="1" applyFont="1" applyBorder="1" applyAlignment="1">
      <alignment horizontal="right" vertical="center" wrapText="1"/>
    </xf>
    <xf numFmtId="167" fontId="10" fillId="0" borderId="0" xfId="1" applyNumberFormat="1" applyFont="1" applyBorder="1" applyAlignment="1">
      <alignment horizontal="center" vertical="center"/>
    </xf>
    <xf numFmtId="167" fontId="9" fillId="2" borderId="3" xfId="1" applyNumberFormat="1" applyFont="1" applyFill="1" applyBorder="1"/>
    <xf numFmtId="167" fontId="9" fillId="0" borderId="2" xfId="0" applyNumberFormat="1" applyFont="1" applyBorder="1" applyAlignment="1">
      <alignment horizontal="right" vertical="center" wrapText="1"/>
    </xf>
    <xf numFmtId="167" fontId="9" fillId="4" borderId="2" xfId="0" applyNumberFormat="1" applyFont="1" applyFill="1" applyBorder="1"/>
    <xf numFmtId="0" fontId="17" fillId="0" borderId="0" xfId="0" applyFont="1" applyAlignment="1">
      <alignment horizontal="left"/>
    </xf>
    <xf numFmtId="0" fontId="11" fillId="0" borderId="2" xfId="0" applyFont="1" applyBorder="1"/>
    <xf numFmtId="0" fontId="19" fillId="0" borderId="0" xfId="0" applyFont="1" applyAlignment="1">
      <alignment horizontal="left"/>
    </xf>
    <xf numFmtId="0" fontId="26" fillId="0" borderId="0" xfId="0" applyFont="1" applyAlignment="1">
      <alignment horizontal="center" vertical="center"/>
    </xf>
    <xf numFmtId="167" fontId="25" fillId="0" borderId="0" xfId="1" applyNumberFormat="1" applyFont="1" applyBorder="1"/>
    <xf numFmtId="167" fontId="9" fillId="0" borderId="2" xfId="1" applyNumberFormat="1" applyFont="1" applyFill="1" applyBorder="1" applyAlignment="1">
      <alignment horizontal="center" vertical="center"/>
    </xf>
    <xf numFmtId="0" fontId="17" fillId="2" borderId="0" xfId="0" applyFont="1" applyFill="1"/>
    <xf numFmtId="0" fontId="4" fillId="6" borderId="2" xfId="0" applyFont="1" applyFill="1" applyBorder="1" applyAlignment="1">
      <alignment horizontal="center" vertical="center" wrapText="1"/>
    </xf>
    <xf numFmtId="0" fontId="25" fillId="0" borderId="0" xfId="0" applyFont="1"/>
    <xf numFmtId="0" fontId="26" fillId="16" borderId="1" xfId="0" applyFont="1" applyFill="1" applyBorder="1" applyAlignment="1">
      <alignment vertical="center"/>
    </xf>
    <xf numFmtId="167" fontId="25" fillId="2" borderId="0" xfId="1" applyNumberFormat="1" applyFont="1" applyFill="1" applyBorder="1"/>
    <xf numFmtId="0" fontId="25" fillId="0" borderId="0" xfId="0" applyFont="1" applyAlignment="1">
      <alignment horizontal="center" vertical="center"/>
    </xf>
    <xf numFmtId="167" fontId="25" fillId="0" borderId="0" xfId="0" applyNumberFormat="1" applyFont="1" applyAlignment="1">
      <alignment horizontal="right" vertical="center" wrapText="1"/>
    </xf>
    <xf numFmtId="167" fontId="25" fillId="0" borderId="0" xfId="0" applyNumberFormat="1" applyFont="1" applyAlignment="1">
      <alignment horizontal="center" vertical="center"/>
    </xf>
    <xf numFmtId="167" fontId="25" fillId="0" borderId="0" xfId="0" applyNumberFormat="1" applyFont="1"/>
    <xf numFmtId="1" fontId="25" fillId="2" borderId="0" xfId="1" applyNumberFormat="1" applyFont="1" applyFill="1" applyBorder="1"/>
    <xf numFmtId="167" fontId="25" fillId="0" borderId="0" xfId="1" applyNumberFormat="1" applyFont="1" applyBorder="1" applyAlignment="1">
      <alignment horizontal="left" vertical="center"/>
    </xf>
    <xf numFmtId="0" fontId="27" fillId="2" borderId="0" xfId="0" applyFont="1" applyFill="1" applyAlignment="1">
      <alignment horizontal="center" vertical="center" wrapText="1"/>
    </xf>
    <xf numFmtId="1" fontId="25" fillId="2" borderId="0" xfId="2" applyNumberFormat="1" applyFont="1" applyFill="1" applyBorder="1" applyAlignment="1" applyProtection="1">
      <alignment horizontal="center" vertical="center" wrapText="1"/>
      <protection locked="0"/>
    </xf>
    <xf numFmtId="167" fontId="25" fillId="12" borderId="0" xfId="1" applyNumberFormat="1" applyFont="1" applyFill="1" applyBorder="1"/>
    <xf numFmtId="0" fontId="9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9" fillId="2" borderId="2" xfId="0" applyFont="1" applyFill="1" applyBorder="1"/>
    <xf numFmtId="0" fontId="11" fillId="2" borderId="2" xfId="0" applyFont="1" applyFill="1" applyBorder="1"/>
    <xf numFmtId="0" fontId="28" fillId="0" borderId="0" xfId="0" applyFont="1"/>
    <xf numFmtId="0" fontId="9" fillId="17" borderId="0" xfId="0" applyFont="1" applyFill="1"/>
    <xf numFmtId="0" fontId="9" fillId="4" borderId="0" xfId="0" applyFont="1" applyFill="1"/>
    <xf numFmtId="41" fontId="9" fillId="0" borderId="0" xfId="0" applyNumberFormat="1" applyFont="1"/>
    <xf numFmtId="0" fontId="26" fillId="10" borderId="0" xfId="0" applyFont="1" applyFill="1" applyAlignment="1">
      <alignment horizontal="center" vertical="center" textRotation="90" wrapText="1"/>
    </xf>
    <xf numFmtId="0" fontId="30" fillId="0" borderId="0" xfId="5" applyFont="1" applyAlignment="1">
      <alignment vertical="center"/>
    </xf>
    <xf numFmtId="0" fontId="31" fillId="0" borderId="0" xfId="5" applyFont="1" applyAlignment="1">
      <alignment horizontal="left" vertical="center" wrapText="1"/>
    </xf>
    <xf numFmtId="168" fontId="31" fillId="0" borderId="0" xfId="5" applyNumberFormat="1" applyFont="1" applyAlignment="1">
      <alignment horizontal="left" vertical="center" wrapText="1"/>
    </xf>
    <xf numFmtId="0" fontId="31" fillId="0" borderId="0" xfId="5" applyFont="1" applyAlignment="1">
      <alignment vertical="center" wrapText="1"/>
    </xf>
    <xf numFmtId="0" fontId="31" fillId="0" borderId="0" xfId="5" applyFont="1" applyAlignment="1">
      <alignment horizontal="center" wrapText="1"/>
    </xf>
    <xf numFmtId="0" fontId="31" fillId="0" borderId="0" xfId="5" applyFont="1" applyAlignment="1">
      <alignment horizontal="left" wrapText="1"/>
    </xf>
    <xf numFmtId="0" fontId="32" fillId="0" borderId="0" xfId="5" applyFont="1" applyAlignment="1">
      <alignment vertical="center"/>
    </xf>
    <xf numFmtId="0" fontId="32" fillId="0" borderId="0" xfId="5" applyFont="1" applyAlignment="1">
      <alignment horizontal="left" vertical="center"/>
    </xf>
    <xf numFmtId="0" fontId="31" fillId="0" borderId="0" xfId="5" applyFont="1" applyAlignment="1">
      <alignment wrapText="1"/>
    </xf>
    <xf numFmtId="168" fontId="31" fillId="0" borderId="0" xfId="5" applyNumberFormat="1" applyFont="1" applyAlignment="1">
      <alignment horizontal="left" wrapText="1"/>
    </xf>
    <xf numFmtId="0" fontId="33" fillId="0" borderId="0" xfId="5" applyFont="1" applyAlignment="1">
      <alignment horizontal="center" wrapText="1"/>
    </xf>
    <xf numFmtId="168" fontId="33" fillId="0" borderId="0" xfId="5" applyNumberFormat="1" applyFont="1" applyAlignment="1">
      <alignment horizontal="left" wrapText="1"/>
    </xf>
    <xf numFmtId="0" fontId="33" fillId="0" borderId="0" xfId="5" applyFont="1" applyAlignment="1">
      <alignment horizontal="left" wrapText="1"/>
    </xf>
    <xf numFmtId="0" fontId="34" fillId="10" borderId="22" xfId="5" applyFont="1" applyFill="1" applyBorder="1" applyAlignment="1">
      <alignment horizontal="center" vertical="center" wrapText="1"/>
    </xf>
    <xf numFmtId="0" fontId="33" fillId="18" borderId="2" xfId="5" applyFont="1" applyFill="1" applyBorder="1" applyAlignment="1">
      <alignment horizontal="center" vertical="center" wrapText="1"/>
    </xf>
    <xf numFmtId="168" fontId="33" fillId="19" borderId="25" xfId="5" applyNumberFormat="1" applyFont="1" applyFill="1" applyBorder="1" applyAlignment="1">
      <alignment horizontal="left" vertical="center" wrapText="1"/>
    </xf>
    <xf numFmtId="0" fontId="33" fillId="19" borderId="2" xfId="5" applyFont="1" applyFill="1" applyBorder="1" applyAlignment="1">
      <alignment horizontal="center" vertical="center" wrapText="1"/>
    </xf>
    <xf numFmtId="168" fontId="33" fillId="19" borderId="25" xfId="5" applyNumberFormat="1" applyFont="1" applyFill="1" applyBorder="1" applyAlignment="1">
      <alignment horizontal="center" vertical="center" wrapText="1"/>
    </xf>
    <xf numFmtId="168" fontId="33" fillId="19" borderId="2" xfId="5" applyNumberFormat="1" applyFont="1" applyFill="1" applyBorder="1" applyAlignment="1">
      <alignment horizontal="center" vertical="center"/>
    </xf>
    <xf numFmtId="0" fontId="33" fillId="19" borderId="2" xfId="5" quotePrefix="1" applyFont="1" applyFill="1" applyBorder="1" applyAlignment="1">
      <alignment horizontal="center" vertical="center" wrapText="1"/>
    </xf>
    <xf numFmtId="1" fontId="33" fillId="19" borderId="2" xfId="5" applyNumberFormat="1" applyFont="1" applyFill="1" applyBorder="1" applyAlignment="1">
      <alignment horizontal="center" vertical="center" wrapText="1"/>
    </xf>
    <xf numFmtId="0" fontId="33" fillId="19" borderId="8" xfId="5" applyFont="1" applyFill="1" applyBorder="1" applyAlignment="1">
      <alignment horizontal="center" vertical="center" wrapText="1"/>
    </xf>
    <xf numFmtId="0" fontId="35" fillId="0" borderId="2" xfId="5" applyFont="1" applyBorder="1" applyAlignment="1">
      <alignment horizontal="center" vertical="center" wrapText="1"/>
    </xf>
    <xf numFmtId="0" fontId="36" fillId="19" borderId="2" xfId="5" applyFont="1" applyFill="1" applyBorder="1" applyAlignment="1">
      <alignment horizontal="center" vertical="center" wrapText="1"/>
    </xf>
    <xf numFmtId="0" fontId="33" fillId="18" borderId="8" xfId="5" applyFont="1" applyFill="1" applyBorder="1" applyAlignment="1">
      <alignment horizontal="center" vertical="center" wrapText="1"/>
    </xf>
    <xf numFmtId="168" fontId="33" fillId="19" borderId="2" xfId="5" applyNumberFormat="1" applyFont="1" applyFill="1" applyBorder="1" applyAlignment="1">
      <alignment horizontal="center" vertical="center" wrapText="1"/>
    </xf>
    <xf numFmtId="0" fontId="36" fillId="19" borderId="7" xfId="5" applyFont="1" applyFill="1" applyBorder="1" applyAlignment="1">
      <alignment horizontal="center" vertical="center" wrapText="1"/>
    </xf>
    <xf numFmtId="168" fontId="33" fillId="19" borderId="2" xfId="5" applyNumberFormat="1" applyFont="1" applyFill="1" applyBorder="1" applyAlignment="1">
      <alignment horizontal="left" vertical="center" wrapText="1"/>
    </xf>
    <xf numFmtId="14" fontId="9" fillId="0" borderId="0" xfId="0" applyNumberFormat="1" applyFont="1" applyAlignment="1">
      <alignment horizontal="left"/>
    </xf>
    <xf numFmtId="0" fontId="11" fillId="0" borderId="3" xfId="0" applyFont="1" applyBorder="1"/>
    <xf numFmtId="167" fontId="9" fillId="2" borderId="3" xfId="0" applyNumberFormat="1" applyFont="1" applyFill="1" applyBorder="1"/>
    <xf numFmtId="1" fontId="9" fillId="2" borderId="3" xfId="1" applyNumberFormat="1" applyFont="1" applyFill="1" applyBorder="1"/>
    <xf numFmtId="0" fontId="9" fillId="2" borderId="4" xfId="0" applyFont="1" applyFill="1" applyBorder="1" applyAlignment="1">
      <alignment horizontal="left" vertical="top" wrapText="1"/>
    </xf>
    <xf numFmtId="0" fontId="4" fillId="0" borderId="0" xfId="0" applyFont="1" applyAlignment="1">
      <alignment vertical="center"/>
    </xf>
    <xf numFmtId="0" fontId="40" fillId="0" borderId="2" xfId="0" applyFont="1" applyBorder="1"/>
    <xf numFmtId="0" fontId="42" fillId="0" borderId="2" xfId="6" applyFont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30" fillId="0" borderId="0" xfId="7" applyFont="1" applyAlignment="1">
      <alignment vertical="center"/>
    </xf>
    <xf numFmtId="0" fontId="31" fillId="0" borderId="0" xfId="7" applyFont="1" applyAlignment="1">
      <alignment horizontal="left" vertical="center" wrapText="1"/>
    </xf>
    <xf numFmtId="168" fontId="31" fillId="0" borderId="0" xfId="7" applyNumberFormat="1" applyFont="1" applyAlignment="1">
      <alignment horizontal="left" vertical="center" wrapText="1"/>
    </xf>
    <xf numFmtId="0" fontId="31" fillId="0" borderId="0" xfId="7" applyFont="1" applyAlignment="1">
      <alignment vertical="center" wrapText="1"/>
    </xf>
    <xf numFmtId="0" fontId="31" fillId="0" borderId="0" xfId="7" applyFont="1" applyAlignment="1">
      <alignment horizontal="center" wrapText="1"/>
    </xf>
    <xf numFmtId="0" fontId="31" fillId="0" borderId="0" xfId="7" applyFont="1" applyAlignment="1">
      <alignment horizontal="left" wrapText="1"/>
    </xf>
    <xf numFmtId="0" fontId="32" fillId="0" borderId="0" xfId="7" applyFont="1" applyAlignment="1">
      <alignment vertical="center"/>
    </xf>
    <xf numFmtId="0" fontId="32" fillId="0" borderId="0" xfId="7" applyFont="1" applyAlignment="1">
      <alignment horizontal="left" vertical="center"/>
    </xf>
    <xf numFmtId="0" fontId="31" fillId="0" borderId="0" xfId="7" applyFont="1" applyAlignment="1">
      <alignment wrapText="1"/>
    </xf>
    <xf numFmtId="168" fontId="31" fillId="0" borderId="0" xfId="7" applyNumberFormat="1" applyFont="1" applyAlignment="1">
      <alignment horizontal="left" wrapText="1"/>
    </xf>
    <xf numFmtId="0" fontId="33" fillId="0" borderId="0" xfId="7" applyFont="1" applyAlignment="1">
      <alignment horizontal="center" wrapText="1"/>
    </xf>
    <xf numFmtId="168" fontId="33" fillId="0" borderId="0" xfId="7" applyNumberFormat="1" applyFont="1" applyAlignment="1">
      <alignment horizontal="left" wrapText="1"/>
    </xf>
    <xf numFmtId="0" fontId="33" fillId="0" borderId="0" xfId="7" applyFont="1" applyAlignment="1">
      <alignment horizontal="left" wrapText="1"/>
    </xf>
    <xf numFmtId="0" fontId="34" fillId="10" borderId="22" xfId="7" applyFont="1" applyFill="1" applyBorder="1" applyAlignment="1">
      <alignment horizontal="center" vertical="center" wrapText="1"/>
    </xf>
    <xf numFmtId="0" fontId="33" fillId="18" borderId="2" xfId="7" applyFont="1" applyFill="1" applyBorder="1" applyAlignment="1">
      <alignment horizontal="center" vertical="center" wrapText="1"/>
    </xf>
    <xf numFmtId="168" fontId="33" fillId="19" borderId="25" xfId="7" applyNumberFormat="1" applyFont="1" applyFill="1" applyBorder="1" applyAlignment="1">
      <alignment horizontal="left" vertical="center" wrapText="1"/>
    </xf>
    <xf numFmtId="0" fontId="33" fillId="19" borderId="2" xfId="7" applyFont="1" applyFill="1" applyBorder="1" applyAlignment="1">
      <alignment horizontal="center" vertical="center" wrapText="1"/>
    </xf>
    <xf numFmtId="14" fontId="33" fillId="19" borderId="2" xfId="7" applyNumberFormat="1" applyFont="1" applyFill="1" applyBorder="1" applyAlignment="1">
      <alignment horizontal="center" vertical="center" wrapText="1"/>
    </xf>
    <xf numFmtId="168" fontId="33" fillId="19" borderId="2" xfId="7" applyNumberFormat="1" applyFont="1" applyFill="1" applyBorder="1" applyAlignment="1">
      <alignment horizontal="center" vertical="center"/>
    </xf>
    <xf numFmtId="0" fontId="33" fillId="19" borderId="2" xfId="7" quotePrefix="1" applyFont="1" applyFill="1" applyBorder="1" applyAlignment="1">
      <alignment horizontal="center" vertical="center" wrapText="1"/>
    </xf>
    <xf numFmtId="168" fontId="33" fillId="19" borderId="25" xfId="7" applyNumberFormat="1" applyFont="1" applyFill="1" applyBorder="1" applyAlignment="1">
      <alignment horizontal="center" vertical="center" wrapText="1"/>
    </xf>
    <xf numFmtId="1" fontId="33" fillId="19" borderId="2" xfId="7" applyNumberFormat="1" applyFont="1" applyFill="1" applyBorder="1" applyAlignment="1">
      <alignment horizontal="center" vertical="center" wrapText="1"/>
    </xf>
    <xf numFmtId="0" fontId="33" fillId="19" borderId="8" xfId="7" applyFont="1" applyFill="1" applyBorder="1" applyAlignment="1">
      <alignment horizontal="center" vertical="center" wrapText="1"/>
    </xf>
    <xf numFmtId="0" fontId="35" fillId="0" borderId="2" xfId="7" applyFont="1" applyBorder="1" applyAlignment="1">
      <alignment horizontal="center" vertical="center" wrapText="1"/>
    </xf>
    <xf numFmtId="0" fontId="36" fillId="19" borderId="2" xfId="7" applyFont="1" applyFill="1" applyBorder="1" applyAlignment="1">
      <alignment horizontal="center" vertical="center" wrapText="1"/>
    </xf>
    <xf numFmtId="0" fontId="33" fillId="18" borderId="8" xfId="7" applyFont="1" applyFill="1" applyBorder="1" applyAlignment="1">
      <alignment horizontal="center" vertical="center" wrapText="1"/>
    </xf>
    <xf numFmtId="168" fontId="33" fillId="19" borderId="2" xfId="7" applyNumberFormat="1" applyFont="1" applyFill="1" applyBorder="1" applyAlignment="1">
      <alignment horizontal="left" vertical="center" wrapText="1"/>
    </xf>
    <xf numFmtId="168" fontId="33" fillId="19" borderId="2" xfId="7" applyNumberFormat="1" applyFont="1" applyFill="1" applyBorder="1" applyAlignment="1">
      <alignment horizontal="center" vertical="center" wrapText="1"/>
    </xf>
    <xf numFmtId="0" fontId="36" fillId="19" borderId="7" xfId="7" applyFont="1" applyFill="1" applyBorder="1" applyAlignment="1">
      <alignment horizontal="center" vertical="center" wrapText="1"/>
    </xf>
    <xf numFmtId="0" fontId="43" fillId="0" borderId="4" xfId="7" applyFont="1" applyBorder="1" applyAlignment="1">
      <alignment vertical="center"/>
    </xf>
    <xf numFmtId="0" fontId="43" fillId="0" borderId="2" xfId="7" applyFont="1" applyBorder="1" applyAlignment="1">
      <alignment horizontal="center" vertical="center"/>
    </xf>
    <xf numFmtId="168" fontId="33" fillId="19" borderId="6" xfId="7" applyNumberFormat="1" applyFont="1" applyFill="1" applyBorder="1" applyAlignment="1">
      <alignment horizontal="center" vertical="center" wrapText="1"/>
    </xf>
    <xf numFmtId="169" fontId="44" fillId="0" borderId="2" xfId="2" applyNumberFormat="1" applyFont="1" applyFill="1" applyBorder="1" applyAlignment="1">
      <alignment vertical="center"/>
    </xf>
    <xf numFmtId="169" fontId="44" fillId="2" borderId="6" xfId="2" applyNumberFormat="1" applyFont="1" applyFill="1" applyBorder="1" applyAlignment="1">
      <alignment vertical="center"/>
    </xf>
    <xf numFmtId="169" fontId="44" fillId="0" borderId="6" xfId="2" applyNumberFormat="1" applyFont="1" applyFill="1" applyBorder="1" applyAlignment="1">
      <alignment vertical="center"/>
    </xf>
    <xf numFmtId="169" fontId="44" fillId="0" borderId="5" xfId="2" applyNumberFormat="1" applyFont="1" applyFill="1" applyBorder="1" applyAlignment="1">
      <alignment horizontal="right" vertical="center"/>
    </xf>
    <xf numFmtId="169" fontId="44" fillId="0" borderId="5" xfId="2" applyNumberFormat="1" applyFont="1" applyFill="1" applyBorder="1" applyAlignment="1">
      <alignment vertical="center"/>
    </xf>
    <xf numFmtId="169" fontId="44" fillId="2" borderId="2" xfId="2" applyNumberFormat="1" applyFont="1" applyFill="1" applyBorder="1" applyAlignment="1">
      <alignment vertical="center"/>
    </xf>
    <xf numFmtId="167" fontId="9" fillId="0" borderId="21" xfId="0" applyNumberFormat="1" applyFont="1" applyBorder="1" applyAlignment="1">
      <alignment horizontal="left" vertical="center" wrapText="1"/>
    </xf>
    <xf numFmtId="9" fontId="9" fillId="2" borderId="2" xfId="8" applyFont="1" applyFill="1" applyBorder="1"/>
    <xf numFmtId="167" fontId="11" fillId="0" borderId="2" xfId="1" applyNumberFormat="1" applyFont="1" applyFill="1" applyBorder="1" applyAlignment="1">
      <alignment horizontal="center" vertical="center"/>
    </xf>
    <xf numFmtId="167" fontId="16" fillId="2" borderId="2" xfId="0" applyNumberFormat="1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" fillId="0" borderId="0" xfId="9" applyAlignment="1">
      <alignment horizontal="center"/>
    </xf>
    <xf numFmtId="170" fontId="1" fillId="0" borderId="0" xfId="9" applyNumberFormat="1" applyAlignment="1">
      <alignment horizontal="center"/>
    </xf>
    <xf numFmtId="0" fontId="1" fillId="0" borderId="0" xfId="9"/>
    <xf numFmtId="0" fontId="1" fillId="21" borderId="6" xfId="9" applyFill="1" applyBorder="1" applyAlignment="1">
      <alignment horizontal="center"/>
    </xf>
    <xf numFmtId="0" fontId="1" fillId="21" borderId="4" xfId="9" applyFill="1" applyBorder="1" applyAlignment="1">
      <alignment horizontal="center"/>
    </xf>
    <xf numFmtId="0" fontId="1" fillId="21" borderId="43" xfId="9" applyFill="1" applyBorder="1" applyAlignment="1">
      <alignment horizontal="center"/>
    </xf>
    <xf numFmtId="0" fontId="1" fillId="21" borderId="44" xfId="9" applyFill="1" applyBorder="1" applyAlignment="1">
      <alignment horizontal="center"/>
    </xf>
    <xf numFmtId="0" fontId="1" fillId="0" borderId="45" xfId="9" applyBorder="1" applyAlignment="1">
      <alignment horizontal="center" vertical="center"/>
    </xf>
    <xf numFmtId="170" fontId="1" fillId="0" borderId="6" xfId="9" applyNumberFormat="1" applyBorder="1" applyAlignment="1">
      <alignment horizontal="center" vertical="center"/>
    </xf>
    <xf numFmtId="170" fontId="1" fillId="0" borderId="4" xfId="9" applyNumberFormat="1" applyBorder="1" applyAlignment="1">
      <alignment horizontal="center" vertical="center"/>
    </xf>
    <xf numFmtId="170" fontId="1" fillId="0" borderId="43" xfId="9" applyNumberFormat="1" applyBorder="1" applyAlignment="1">
      <alignment horizontal="center" vertical="center"/>
    </xf>
    <xf numFmtId="0" fontId="1" fillId="0" borderId="0" xfId="9" applyAlignment="1">
      <alignment vertical="center"/>
    </xf>
    <xf numFmtId="0" fontId="1" fillId="0" borderId="46" xfId="9" applyBorder="1" applyAlignment="1">
      <alignment horizontal="center" vertical="center"/>
    </xf>
    <xf numFmtId="170" fontId="1" fillId="0" borderId="0" xfId="9" applyNumberFormat="1"/>
    <xf numFmtId="0" fontId="0" fillId="2" borderId="0" xfId="10" applyFont="1" applyFill="1" applyAlignment="1">
      <alignment horizontal="center" vertical="center"/>
    </xf>
    <xf numFmtId="0" fontId="1" fillId="21" borderId="48" xfId="9" applyFill="1" applyBorder="1" applyAlignment="1">
      <alignment horizontal="center"/>
    </xf>
    <xf numFmtId="0" fontId="45" fillId="2" borderId="0" xfId="10" applyFont="1" applyFill="1" applyAlignment="1">
      <alignment vertical="center"/>
    </xf>
    <xf numFmtId="0" fontId="48" fillId="0" borderId="0" xfId="9" applyFont="1"/>
    <xf numFmtId="0" fontId="1" fillId="0" borderId="47" xfId="9" applyBorder="1" applyAlignment="1">
      <alignment horizontal="center" vertical="center"/>
    </xf>
    <xf numFmtId="170" fontId="1" fillId="0" borderId="48" xfId="9" applyNumberFormat="1" applyBorder="1" applyAlignment="1">
      <alignment horizontal="center" vertical="center"/>
    </xf>
    <xf numFmtId="0" fontId="1" fillId="0" borderId="52" xfId="9" applyBorder="1" applyAlignment="1">
      <alignment horizontal="center" vertical="center"/>
    </xf>
    <xf numFmtId="170" fontId="1" fillId="0" borderId="52" xfId="9" applyNumberFormat="1" applyBorder="1" applyAlignment="1">
      <alignment horizontal="center" vertical="center"/>
    </xf>
    <xf numFmtId="0" fontId="1" fillId="21" borderId="26" xfId="9" applyFill="1" applyBorder="1" applyAlignment="1">
      <alignment horizontal="center"/>
    </xf>
    <xf numFmtId="0" fontId="1" fillId="21" borderId="53" xfId="9" applyFill="1" applyBorder="1" applyAlignment="1">
      <alignment horizontal="center"/>
    </xf>
    <xf numFmtId="169" fontId="44" fillId="4" borderId="2" xfId="2" applyNumberFormat="1" applyFont="1" applyFill="1" applyBorder="1" applyAlignment="1">
      <alignment vertical="center"/>
    </xf>
    <xf numFmtId="0" fontId="34" fillId="10" borderId="22" xfId="7" applyFont="1" applyFill="1" applyBorder="1" applyAlignment="1">
      <alignment horizontal="center" vertical="center" wrapText="1"/>
    </xf>
    <xf numFmtId="168" fontId="34" fillId="10" borderId="22" xfId="7" applyNumberFormat="1" applyFont="1" applyFill="1" applyBorder="1" applyAlignment="1">
      <alignment horizontal="center" vertical="center" wrapText="1"/>
    </xf>
    <xf numFmtId="0" fontId="34" fillId="10" borderId="23" xfId="7" applyFont="1" applyFill="1" applyBorder="1" applyAlignment="1">
      <alignment horizontal="center" vertical="center" wrapText="1"/>
    </xf>
    <xf numFmtId="0" fontId="34" fillId="10" borderId="24" xfId="7" applyFont="1" applyFill="1" applyBorder="1" applyAlignment="1">
      <alignment horizontal="center" vertical="center" wrapText="1"/>
    </xf>
    <xf numFmtId="0" fontId="1" fillId="0" borderId="0" xfId="9" applyAlignment="1">
      <alignment horizontal="center"/>
    </xf>
    <xf numFmtId="0" fontId="45" fillId="0" borderId="0" xfId="9" applyFont="1" applyAlignment="1">
      <alignment horizontal="center"/>
    </xf>
    <xf numFmtId="0" fontId="1" fillId="21" borderId="52" xfId="9" applyFill="1" applyBorder="1" applyAlignment="1">
      <alignment horizontal="center" vertical="center"/>
    </xf>
    <xf numFmtId="0" fontId="1" fillId="21" borderId="50" xfId="9" applyFill="1" applyBorder="1" applyAlignment="1">
      <alignment horizontal="center"/>
    </xf>
    <xf numFmtId="0" fontId="1" fillId="21" borderId="51" xfId="9" applyFill="1" applyBorder="1" applyAlignment="1">
      <alignment horizontal="center"/>
    </xf>
    <xf numFmtId="0" fontId="1" fillId="21" borderId="35" xfId="9" applyFill="1" applyBorder="1" applyAlignment="1">
      <alignment horizontal="center" vertical="center"/>
    </xf>
    <xf numFmtId="0" fontId="1" fillId="21" borderId="39" xfId="9" applyFill="1" applyBorder="1" applyAlignment="1">
      <alignment horizontal="center" vertical="center"/>
    </xf>
    <xf numFmtId="0" fontId="1" fillId="21" borderId="42" xfId="9" applyFill="1" applyBorder="1" applyAlignment="1">
      <alignment horizontal="center" vertical="center"/>
    </xf>
    <xf numFmtId="0" fontId="1" fillId="21" borderId="36" xfId="9" applyFill="1" applyBorder="1" applyAlignment="1">
      <alignment horizontal="center"/>
    </xf>
    <xf numFmtId="0" fontId="1" fillId="21" borderId="37" xfId="9" applyFill="1" applyBorder="1" applyAlignment="1">
      <alignment horizontal="center"/>
    </xf>
    <xf numFmtId="0" fontId="1" fillId="21" borderId="38" xfId="9" applyFill="1" applyBorder="1" applyAlignment="1">
      <alignment horizontal="center"/>
    </xf>
    <xf numFmtId="170" fontId="46" fillId="0" borderId="0" xfId="9" applyNumberFormat="1" applyFont="1" applyAlignment="1">
      <alignment horizontal="center"/>
    </xf>
    <xf numFmtId="0" fontId="1" fillId="21" borderId="54" xfId="9" applyFill="1" applyBorder="1" applyAlignment="1">
      <alignment horizontal="center"/>
    </xf>
    <xf numFmtId="170" fontId="45" fillId="0" borderId="0" xfId="9" applyNumberFormat="1" applyFont="1" applyAlignment="1">
      <alignment horizontal="center"/>
    </xf>
    <xf numFmtId="0" fontId="1" fillId="21" borderId="47" xfId="9" applyFill="1" applyBorder="1" applyAlignment="1">
      <alignment horizontal="center" vertical="center"/>
    </xf>
    <xf numFmtId="0" fontId="1" fillId="21" borderId="48" xfId="9" applyFill="1" applyBorder="1" applyAlignment="1">
      <alignment horizontal="center"/>
    </xf>
    <xf numFmtId="0" fontId="1" fillId="21" borderId="3" xfId="9" applyFill="1" applyBorder="1" applyAlignment="1">
      <alignment horizontal="center"/>
    </xf>
    <xf numFmtId="0" fontId="1" fillId="21" borderId="49" xfId="9" applyFill="1" applyBorder="1" applyAlignment="1">
      <alignment horizontal="center"/>
    </xf>
    <xf numFmtId="0" fontId="1" fillId="21" borderId="41" xfId="9" applyFill="1" applyBorder="1" applyAlignment="1">
      <alignment horizontal="center"/>
    </xf>
    <xf numFmtId="0" fontId="1" fillId="21" borderId="40" xfId="9" applyFill="1" applyBorder="1" applyAlignment="1">
      <alignment horizontal="center"/>
    </xf>
    <xf numFmtId="0" fontId="4" fillId="9" borderId="3" xfId="0" applyFont="1" applyFill="1" applyBorder="1" applyAlignment="1">
      <alignment horizontal="center" vertical="center" textRotation="90"/>
    </xf>
    <xf numFmtId="0" fontId="4" fillId="9" borderId="7" xfId="0" applyFont="1" applyFill="1" applyBorder="1" applyAlignment="1">
      <alignment horizontal="center" vertical="center" textRotation="90"/>
    </xf>
    <xf numFmtId="0" fontId="4" fillId="9" borderId="8" xfId="0" applyFont="1" applyFill="1" applyBorder="1" applyAlignment="1">
      <alignment horizontal="center" vertical="center" textRotation="90"/>
    </xf>
    <xf numFmtId="0" fontId="4" fillId="9" borderId="3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textRotation="90" wrapText="1"/>
    </xf>
    <xf numFmtId="0" fontId="4" fillId="4" borderId="7" xfId="0" applyFont="1" applyFill="1" applyBorder="1" applyAlignment="1">
      <alignment horizontal="center" vertical="center" textRotation="90" wrapText="1"/>
    </xf>
    <xf numFmtId="0" fontId="4" fillId="4" borderId="8" xfId="0" applyFont="1" applyFill="1" applyBorder="1" applyAlignment="1">
      <alignment horizontal="center" vertical="center" textRotation="90" wrapText="1"/>
    </xf>
    <xf numFmtId="0" fontId="4" fillId="10" borderId="31" xfId="0" applyFont="1" applyFill="1" applyBorder="1" applyAlignment="1">
      <alignment horizontal="center" vertical="center" textRotation="90" wrapText="1"/>
    </xf>
    <xf numFmtId="0" fontId="4" fillId="10" borderId="32" xfId="0" applyFont="1" applyFill="1" applyBorder="1" applyAlignment="1">
      <alignment horizontal="center" vertical="center" textRotation="90" wrapText="1"/>
    </xf>
    <xf numFmtId="0" fontId="4" fillId="10" borderId="33" xfId="0" applyFont="1" applyFill="1" applyBorder="1" applyAlignment="1">
      <alignment horizontal="center" vertical="center" textRotation="90" wrapText="1"/>
    </xf>
    <xf numFmtId="0" fontId="39" fillId="20" borderId="28" xfId="0" applyFont="1" applyFill="1" applyBorder="1" applyAlignment="1">
      <alignment horizontal="center" vertical="center" wrapText="1"/>
    </xf>
    <xf numFmtId="0" fontId="39" fillId="20" borderId="29" xfId="0" applyFont="1" applyFill="1" applyBorder="1" applyAlignment="1">
      <alignment horizontal="center" vertical="center" wrapText="1"/>
    </xf>
    <xf numFmtId="0" fontId="39" fillId="20" borderId="30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  <xf numFmtId="0" fontId="4" fillId="10" borderId="7" xfId="0" applyFont="1" applyFill="1" applyBorder="1" applyAlignment="1">
      <alignment horizontal="center" vertical="center" textRotation="90" wrapText="1"/>
    </xf>
    <xf numFmtId="0" fontId="4" fillId="10" borderId="8" xfId="0" applyFont="1" applyFill="1" applyBorder="1" applyAlignment="1">
      <alignment horizontal="center" vertical="center" textRotation="90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7" xfId="0" applyFont="1" applyFill="1" applyBorder="1" applyAlignment="1">
      <alignment horizontal="center" vertical="center" textRotation="90" wrapText="1"/>
    </xf>
    <xf numFmtId="0" fontId="4" fillId="9" borderId="8" xfId="0" applyFont="1" applyFill="1" applyBorder="1" applyAlignment="1">
      <alignment horizontal="center" vertical="center" textRotation="90" wrapText="1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9" fontId="4" fillId="4" borderId="3" xfId="8" applyFont="1" applyFill="1" applyBorder="1" applyAlignment="1">
      <alignment horizontal="center" vertical="center" wrapText="1"/>
    </xf>
    <xf numFmtId="9" fontId="4" fillId="4" borderId="8" xfId="8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 wrapText="1"/>
    </xf>
    <xf numFmtId="167" fontId="19" fillId="5" borderId="13" xfId="0" applyNumberFormat="1" applyFont="1" applyFill="1" applyBorder="1" applyAlignment="1">
      <alignment horizontal="center" vertical="center"/>
    </xf>
    <xf numFmtId="167" fontId="19" fillId="5" borderId="16" xfId="0" applyNumberFormat="1" applyFont="1" applyFill="1" applyBorder="1" applyAlignment="1">
      <alignment horizontal="center" vertical="center"/>
    </xf>
    <xf numFmtId="0" fontId="17" fillId="14" borderId="19" xfId="0" applyFont="1" applyFill="1" applyBorder="1" applyAlignment="1">
      <alignment horizontal="center"/>
    </xf>
    <xf numFmtId="0" fontId="17" fillId="14" borderId="11" xfId="0" applyFont="1" applyFill="1" applyBorder="1" applyAlignment="1">
      <alignment horizontal="center"/>
    </xf>
    <xf numFmtId="0" fontId="23" fillId="16" borderId="0" xfId="0" applyFont="1" applyFill="1" applyAlignment="1">
      <alignment horizontal="center" vertical="center"/>
    </xf>
    <xf numFmtId="0" fontId="19" fillId="15" borderId="17" xfId="0" applyFont="1" applyFill="1" applyBorder="1" applyAlignment="1">
      <alignment horizontal="left"/>
    </xf>
    <xf numFmtId="0" fontId="19" fillId="15" borderId="13" xfId="0" applyFont="1" applyFill="1" applyBorder="1" applyAlignment="1">
      <alignment horizontal="left"/>
    </xf>
    <xf numFmtId="0" fontId="17" fillId="14" borderId="12" xfId="0" applyFont="1" applyFill="1" applyBorder="1" applyAlignment="1">
      <alignment horizontal="center"/>
    </xf>
    <xf numFmtId="0" fontId="17" fillId="14" borderId="0" xfId="0" applyFont="1" applyFill="1" applyAlignment="1">
      <alignment horizontal="center"/>
    </xf>
    <xf numFmtId="0" fontId="17" fillId="14" borderId="18" xfId="0" applyFont="1" applyFill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18" xfId="0" applyFont="1" applyBorder="1" applyAlignment="1">
      <alignment horizontal="left"/>
    </xf>
    <xf numFmtId="0" fontId="22" fillId="0" borderId="1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0" fontId="20" fillId="0" borderId="18" xfId="0" applyFont="1" applyBorder="1" applyAlignment="1">
      <alignment horizontal="center" wrapText="1"/>
    </xf>
    <xf numFmtId="14" fontId="21" fillId="0" borderId="0" xfId="0" applyNumberFormat="1" applyFont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19" fillId="5" borderId="17" xfId="0" applyFont="1" applyFill="1" applyBorder="1" applyAlignment="1">
      <alignment horizontal="center" vertical="center"/>
    </xf>
    <xf numFmtId="0" fontId="19" fillId="5" borderId="2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13" borderId="2" xfId="0" applyFont="1" applyFill="1" applyBorder="1" applyAlignment="1">
      <alignment horizontal="center"/>
    </xf>
    <xf numFmtId="0" fontId="34" fillId="10" borderId="22" xfId="5" applyFont="1" applyFill="1" applyBorder="1" applyAlignment="1">
      <alignment horizontal="center" vertical="center" wrapText="1"/>
    </xf>
    <xf numFmtId="168" fontId="34" fillId="10" borderId="22" xfId="5" applyNumberFormat="1" applyFont="1" applyFill="1" applyBorder="1" applyAlignment="1">
      <alignment horizontal="center" vertical="center" wrapText="1"/>
    </xf>
    <xf numFmtId="0" fontId="34" fillId="10" borderId="23" xfId="5" applyFont="1" applyFill="1" applyBorder="1" applyAlignment="1">
      <alignment horizontal="center" vertical="center" wrapText="1"/>
    </xf>
    <xf numFmtId="0" fontId="34" fillId="10" borderId="24" xfId="5" applyFont="1" applyFill="1" applyBorder="1" applyAlignment="1">
      <alignment horizontal="center" vertical="center" wrapText="1"/>
    </xf>
    <xf numFmtId="0" fontId="4" fillId="11" borderId="26" xfId="0" applyFont="1" applyFill="1" applyBorder="1" applyAlignment="1">
      <alignment horizontal="center" vertical="center" wrapText="1"/>
    </xf>
    <xf numFmtId="0" fontId="4" fillId="11" borderId="17" xfId="0" applyFont="1" applyFill="1" applyBorder="1" applyAlignment="1">
      <alignment horizontal="center" vertical="center" wrapText="1"/>
    </xf>
    <xf numFmtId="0" fontId="4" fillId="11" borderId="34" xfId="0" applyFont="1" applyFill="1" applyBorder="1" applyAlignment="1">
      <alignment horizontal="center" vertical="center" wrapText="1"/>
    </xf>
  </cellXfs>
  <cellStyles count="11">
    <cellStyle name="Comma" xfId="2" builtinId="3"/>
    <cellStyle name="Comma [0]" xfId="1" builtinId="6"/>
    <cellStyle name="Comma 2" xfId="4" xr:uid="{00000000-0005-0000-0000-000002000000}"/>
    <cellStyle name="Currency" xfId="3" builtinId="4"/>
    <cellStyle name="Normal" xfId="0" builtinId="0"/>
    <cellStyle name="Normal 2" xfId="5" xr:uid="{8C1661BB-23AC-43FC-8703-70675D5434D5}"/>
    <cellStyle name="Normal 2 2" xfId="9" xr:uid="{E63E4FF7-854D-415E-937A-E57147BB802F}"/>
    <cellStyle name="Normal 2 2 2" xfId="10" xr:uid="{FE94842E-6A27-4134-A66F-3557BED83B67}"/>
    <cellStyle name="Normal 3" xfId="7" xr:uid="{7EA94462-4483-4746-98F3-A6187DD711FD}"/>
    <cellStyle name="Normal 6" xfId="6" xr:uid="{D079E021-A6EB-4C31-AB0E-EBD2DE5D166D}"/>
    <cellStyle name="Percent" xfId="8" builtinId="5"/>
  </cellStyles>
  <dxfs count="0"/>
  <tableStyles count="0" defaultTableStyle="TableStyleMedium2" defaultPivotStyle="PivotStyleLight16"/>
  <colors>
    <mruColors>
      <color rgb="FF33CC33"/>
      <color rgb="FFFF85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A0D8E-A5CA-4665-BD77-6D78B1114CA6}">
  <dimension ref="A1:L23"/>
  <sheetViews>
    <sheetView view="pageBreakPreview" topLeftCell="A3" zoomScale="110" zoomScaleNormal="100" zoomScaleSheetLayoutView="110" workbookViewId="0">
      <selection activeCell="J10" sqref="J10"/>
    </sheetView>
  </sheetViews>
  <sheetFormatPr defaultColWidth="9" defaultRowHeight="14.5"/>
  <cols>
    <col min="1" max="2" width="13.1796875" style="161" customWidth="1"/>
    <col min="3" max="8" width="12.81640625" style="161" customWidth="1"/>
    <col min="9" max="9" width="12.1796875" style="161" customWidth="1"/>
    <col min="10" max="10" width="12.453125" style="161" customWidth="1"/>
    <col min="11" max="11" width="16.7265625" style="161" customWidth="1"/>
    <col min="12" max="12" width="11.453125" style="161" customWidth="1"/>
    <col min="13" max="16384" width="9" style="161"/>
  </cols>
  <sheetData>
    <row r="1" spans="1:12">
      <c r="A1" s="159"/>
      <c r="B1" s="159"/>
      <c r="C1" s="160">
        <v>1300000</v>
      </c>
      <c r="D1" s="160">
        <v>1400000</v>
      </c>
      <c r="E1" s="160">
        <v>1350000</v>
      </c>
      <c r="F1" s="160">
        <v>1450000</v>
      </c>
      <c r="G1" s="161">
        <v>1400000</v>
      </c>
      <c r="H1" s="160">
        <v>1500000</v>
      </c>
    </row>
    <row r="2" spans="1:12" ht="15.5">
      <c r="A2" s="199" t="s">
        <v>420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</row>
    <row r="3" spans="1:12" ht="15" thickBot="1">
      <c r="A3" s="159"/>
      <c r="B3" s="159"/>
      <c r="C3" s="160"/>
      <c r="D3" s="160"/>
      <c r="E3" s="160"/>
      <c r="F3" s="160"/>
      <c r="H3" s="160"/>
    </row>
    <row r="4" spans="1:12" ht="15" thickBot="1">
      <c r="A4" s="193" t="s">
        <v>421</v>
      </c>
      <c r="B4" s="190" t="s">
        <v>439</v>
      </c>
      <c r="C4" s="197" t="s">
        <v>422</v>
      </c>
      <c r="D4" s="197"/>
      <c r="E4" s="197"/>
      <c r="F4" s="197"/>
      <c r="G4" s="197"/>
      <c r="H4" s="197"/>
      <c r="I4" s="197"/>
      <c r="J4" s="197"/>
      <c r="K4" s="197"/>
      <c r="L4" s="198"/>
    </row>
    <row r="5" spans="1:12" ht="15" thickBot="1">
      <c r="A5" s="194"/>
      <c r="B5" s="190"/>
      <c r="C5" s="200" t="s">
        <v>423</v>
      </c>
      <c r="D5" s="192"/>
      <c r="E5" s="191" t="s">
        <v>424</v>
      </c>
      <c r="F5" s="192"/>
      <c r="G5" s="191" t="s">
        <v>425</v>
      </c>
      <c r="H5" s="192"/>
      <c r="I5" s="191" t="s">
        <v>426</v>
      </c>
      <c r="J5" s="192"/>
      <c r="K5" s="191" t="s">
        <v>427</v>
      </c>
      <c r="L5" s="192"/>
    </row>
    <row r="6" spans="1:12" ht="15" thickBot="1">
      <c r="A6" s="195"/>
      <c r="B6" s="190"/>
      <c r="C6" s="162" t="s">
        <v>155</v>
      </c>
      <c r="D6" s="163" t="s">
        <v>133</v>
      </c>
      <c r="E6" s="164" t="s">
        <v>155</v>
      </c>
      <c r="F6" s="163" t="s">
        <v>133</v>
      </c>
      <c r="G6" s="164" t="s">
        <v>155</v>
      </c>
      <c r="H6" s="165" t="s">
        <v>133</v>
      </c>
      <c r="I6" s="164" t="s">
        <v>155</v>
      </c>
      <c r="J6" s="165" t="s">
        <v>133</v>
      </c>
      <c r="K6" s="164" t="s">
        <v>155</v>
      </c>
      <c r="L6" s="165" t="s">
        <v>133</v>
      </c>
    </row>
    <row r="7" spans="1:12" s="170" customFormat="1" ht="20.149999999999999" customHeight="1" thickBot="1">
      <c r="A7" s="166" t="s">
        <v>368</v>
      </c>
      <c r="B7" s="179">
        <v>50000</v>
      </c>
      <c r="C7" s="167">
        <v>500000</v>
      </c>
      <c r="D7" s="168">
        <f>C7+400000</f>
        <v>900000</v>
      </c>
      <c r="E7" s="169">
        <f t="shared" ref="E7:L7" si="0">C7+$B7</f>
        <v>550000</v>
      </c>
      <c r="F7" s="168">
        <f t="shared" si="0"/>
        <v>950000</v>
      </c>
      <c r="G7" s="169">
        <f t="shared" si="0"/>
        <v>600000</v>
      </c>
      <c r="H7" s="168">
        <f t="shared" si="0"/>
        <v>1000000</v>
      </c>
      <c r="I7" s="169">
        <f t="shared" si="0"/>
        <v>650000</v>
      </c>
      <c r="J7" s="168">
        <f t="shared" si="0"/>
        <v>1050000</v>
      </c>
      <c r="K7" s="169">
        <f t="shared" si="0"/>
        <v>700000</v>
      </c>
      <c r="L7" s="168">
        <f t="shared" si="0"/>
        <v>1100000</v>
      </c>
    </row>
    <row r="8" spans="1:12" s="170" customFormat="1" ht="20.149999999999999" customHeight="1" thickBot="1">
      <c r="A8" s="177" t="s">
        <v>273</v>
      </c>
      <c r="B8" s="179">
        <v>50000</v>
      </c>
      <c r="C8" s="178">
        <v>800000</v>
      </c>
      <c r="D8" s="168">
        <f>C8+1000000</f>
        <v>1800000</v>
      </c>
      <c r="E8" s="169">
        <f t="shared" ref="E8:K10" si="1">C8+$B8</f>
        <v>850000</v>
      </c>
      <c r="F8" s="168">
        <f t="shared" ref="F8:L10" si="2">D8+$B8</f>
        <v>1850000</v>
      </c>
      <c r="G8" s="169">
        <f>E8+$B8</f>
        <v>900000</v>
      </c>
      <c r="H8" s="168">
        <f t="shared" si="2"/>
        <v>1900000</v>
      </c>
      <c r="I8" s="169">
        <f>G8+$B8</f>
        <v>950000</v>
      </c>
      <c r="J8" s="168">
        <f t="shared" si="2"/>
        <v>1950000</v>
      </c>
      <c r="K8" s="169">
        <f>I8+$B8</f>
        <v>1000000</v>
      </c>
      <c r="L8" s="168">
        <f t="shared" si="2"/>
        <v>2000000</v>
      </c>
    </row>
    <row r="9" spans="1:12" s="170" customFormat="1" ht="20.149999999999999" customHeight="1" thickBot="1">
      <c r="A9" s="179" t="s">
        <v>369</v>
      </c>
      <c r="B9" s="179">
        <v>50000</v>
      </c>
      <c r="C9" s="167">
        <v>500000</v>
      </c>
      <c r="D9" s="168">
        <f>C9+400000</f>
        <v>900000</v>
      </c>
      <c r="E9" s="169">
        <f t="shared" si="1"/>
        <v>550000</v>
      </c>
      <c r="F9" s="168">
        <f t="shared" si="2"/>
        <v>950000</v>
      </c>
      <c r="G9" s="169">
        <f t="shared" si="1"/>
        <v>600000</v>
      </c>
      <c r="H9" s="168">
        <f t="shared" si="2"/>
        <v>1000000</v>
      </c>
      <c r="I9" s="169">
        <f t="shared" si="1"/>
        <v>650000</v>
      </c>
      <c r="J9" s="168">
        <f t="shared" si="2"/>
        <v>1050000</v>
      </c>
      <c r="K9" s="169">
        <f t="shared" si="1"/>
        <v>700000</v>
      </c>
      <c r="L9" s="168">
        <f t="shared" si="2"/>
        <v>1100000</v>
      </c>
    </row>
    <row r="10" spans="1:12" s="170" customFormat="1" ht="20.149999999999999" customHeight="1" thickBot="1">
      <c r="A10" s="179" t="s">
        <v>438</v>
      </c>
      <c r="B10" s="179">
        <v>50000</v>
      </c>
      <c r="C10" s="167">
        <v>500000</v>
      </c>
      <c r="D10" s="168">
        <f t="shared" ref="D10" si="3">C10+400000</f>
        <v>900000</v>
      </c>
      <c r="E10" s="169">
        <f t="shared" si="1"/>
        <v>550000</v>
      </c>
      <c r="F10" s="168">
        <f t="shared" si="2"/>
        <v>950000</v>
      </c>
      <c r="G10" s="169">
        <f t="shared" si="1"/>
        <v>600000</v>
      </c>
      <c r="H10" s="168">
        <f t="shared" si="2"/>
        <v>1000000</v>
      </c>
      <c r="I10" s="169">
        <f t="shared" si="1"/>
        <v>650000</v>
      </c>
      <c r="J10" s="168">
        <f t="shared" si="2"/>
        <v>1050000</v>
      </c>
      <c r="K10" s="169">
        <f t="shared" si="1"/>
        <v>700000</v>
      </c>
      <c r="L10" s="168">
        <f t="shared" si="2"/>
        <v>1100000</v>
      </c>
    </row>
    <row r="11" spans="1:12" s="170" customFormat="1" ht="15" thickBot="1"/>
    <row r="12" spans="1:12" s="170" customFormat="1" ht="15" thickBot="1">
      <c r="A12" s="193" t="s">
        <v>421</v>
      </c>
      <c r="B12" s="190" t="s">
        <v>439</v>
      </c>
      <c r="C12" s="196" t="s">
        <v>422</v>
      </c>
      <c r="D12" s="197"/>
      <c r="E12" s="197"/>
      <c r="F12" s="197"/>
      <c r="G12" s="197"/>
      <c r="H12" s="197"/>
      <c r="I12" s="197"/>
      <c r="J12" s="197"/>
      <c r="K12" s="197"/>
      <c r="L12" s="198"/>
    </row>
    <row r="13" spans="1:12" s="170" customFormat="1" ht="15" thickBot="1">
      <c r="A13" s="194"/>
      <c r="B13" s="190"/>
      <c r="C13" s="191" t="s">
        <v>428</v>
      </c>
      <c r="D13" s="192"/>
      <c r="E13" s="191" t="s">
        <v>429</v>
      </c>
      <c r="F13" s="192"/>
      <c r="G13" s="191" t="s">
        <v>430</v>
      </c>
      <c r="H13" s="192"/>
      <c r="I13" s="191" t="s">
        <v>431</v>
      </c>
      <c r="J13" s="192"/>
      <c r="K13" s="191" t="s">
        <v>432</v>
      </c>
      <c r="L13" s="192"/>
    </row>
    <row r="14" spans="1:12" s="170" customFormat="1" ht="15" thickBot="1">
      <c r="A14" s="195"/>
      <c r="B14" s="190"/>
      <c r="C14" s="162" t="s">
        <v>155</v>
      </c>
      <c r="D14" s="163" t="s">
        <v>133</v>
      </c>
      <c r="E14" s="164" t="s">
        <v>155</v>
      </c>
      <c r="F14" s="163" t="s">
        <v>133</v>
      </c>
      <c r="G14" s="164" t="s">
        <v>155</v>
      </c>
      <c r="H14" s="165" t="s">
        <v>133</v>
      </c>
      <c r="I14" s="164" t="s">
        <v>155</v>
      </c>
      <c r="J14" s="165" t="s">
        <v>133</v>
      </c>
      <c r="K14" s="164" t="s">
        <v>155</v>
      </c>
      <c r="L14" s="165" t="s">
        <v>133</v>
      </c>
    </row>
    <row r="15" spans="1:12" s="170" customFormat="1" ht="17.5" customHeight="1" thickBot="1">
      <c r="A15" s="166" t="s">
        <v>368</v>
      </c>
      <c r="B15" s="179">
        <v>50000</v>
      </c>
      <c r="C15" s="169">
        <f>$K7+$B15</f>
        <v>750000</v>
      </c>
      <c r="D15" s="168">
        <f>$L7+$B15</f>
        <v>1150000</v>
      </c>
      <c r="E15" s="169">
        <f t="shared" ref="E15:L15" si="4">C15+$B15</f>
        <v>800000</v>
      </c>
      <c r="F15" s="168">
        <f t="shared" si="4"/>
        <v>1200000</v>
      </c>
      <c r="G15" s="169">
        <f t="shared" si="4"/>
        <v>850000</v>
      </c>
      <c r="H15" s="168">
        <f t="shared" si="4"/>
        <v>1250000</v>
      </c>
      <c r="I15" s="169">
        <f t="shared" si="4"/>
        <v>900000</v>
      </c>
      <c r="J15" s="168">
        <f t="shared" si="4"/>
        <v>1300000</v>
      </c>
      <c r="K15" s="169">
        <f t="shared" si="4"/>
        <v>950000</v>
      </c>
      <c r="L15" s="168">
        <f t="shared" si="4"/>
        <v>1350000</v>
      </c>
    </row>
    <row r="16" spans="1:12" s="170" customFormat="1" ht="17.5" customHeight="1" thickBot="1">
      <c r="A16" s="166" t="s">
        <v>273</v>
      </c>
      <c r="B16" s="179">
        <v>50000</v>
      </c>
      <c r="C16" s="169">
        <f>$K8+$B16</f>
        <v>1050000</v>
      </c>
      <c r="D16" s="168">
        <f t="shared" ref="D16:D18" si="5">$L8+$B16</f>
        <v>2050000</v>
      </c>
      <c r="E16" s="169">
        <f t="shared" ref="E16:K18" si="6">C16+$B16</f>
        <v>1100000</v>
      </c>
      <c r="F16" s="168">
        <f t="shared" ref="F16:L18" si="7">D16+$B16</f>
        <v>2100000</v>
      </c>
      <c r="G16" s="169">
        <f t="shared" si="6"/>
        <v>1150000</v>
      </c>
      <c r="H16" s="168">
        <f t="shared" si="7"/>
        <v>2150000</v>
      </c>
      <c r="I16" s="169">
        <f t="shared" si="6"/>
        <v>1200000</v>
      </c>
      <c r="J16" s="168">
        <f t="shared" si="7"/>
        <v>2200000</v>
      </c>
      <c r="K16" s="169">
        <f t="shared" si="6"/>
        <v>1250000</v>
      </c>
      <c r="L16" s="168">
        <f t="shared" si="7"/>
        <v>2250000</v>
      </c>
    </row>
    <row r="17" spans="1:12" s="170" customFormat="1" ht="17.5" customHeight="1" thickBot="1">
      <c r="A17" s="171" t="s">
        <v>369</v>
      </c>
      <c r="B17" s="179">
        <v>50000</v>
      </c>
      <c r="C17" s="169">
        <f t="shared" ref="C17:C18" si="8">$K9+$B17</f>
        <v>750000</v>
      </c>
      <c r="D17" s="168">
        <f t="shared" si="5"/>
        <v>1150000</v>
      </c>
      <c r="E17" s="169">
        <f t="shared" si="6"/>
        <v>800000</v>
      </c>
      <c r="F17" s="168">
        <f t="shared" si="7"/>
        <v>1200000</v>
      </c>
      <c r="G17" s="169">
        <f t="shared" si="6"/>
        <v>850000</v>
      </c>
      <c r="H17" s="168">
        <f t="shared" si="7"/>
        <v>1250000</v>
      </c>
      <c r="I17" s="169">
        <f t="shared" si="6"/>
        <v>900000</v>
      </c>
      <c r="J17" s="168">
        <f t="shared" si="7"/>
        <v>1300000</v>
      </c>
      <c r="K17" s="169">
        <f t="shared" si="6"/>
        <v>950000</v>
      </c>
      <c r="L17" s="168">
        <f t="shared" si="7"/>
        <v>1350000</v>
      </c>
    </row>
    <row r="18" spans="1:12" s="170" customFormat="1" ht="15" thickBot="1">
      <c r="A18" s="179" t="s">
        <v>438</v>
      </c>
      <c r="B18" s="179">
        <v>50000</v>
      </c>
      <c r="C18" s="169">
        <f t="shared" si="8"/>
        <v>750000</v>
      </c>
      <c r="D18" s="168">
        <f t="shared" si="5"/>
        <v>1150000</v>
      </c>
      <c r="E18" s="169">
        <f t="shared" si="6"/>
        <v>800000</v>
      </c>
      <c r="F18" s="168">
        <f t="shared" si="7"/>
        <v>1200000</v>
      </c>
      <c r="G18" s="169">
        <f t="shared" si="6"/>
        <v>850000</v>
      </c>
      <c r="H18" s="168">
        <f t="shared" si="7"/>
        <v>1250000</v>
      </c>
      <c r="I18" s="169">
        <f t="shared" si="6"/>
        <v>900000</v>
      </c>
      <c r="J18" s="168">
        <f t="shared" si="7"/>
        <v>1300000</v>
      </c>
      <c r="K18" s="169">
        <f t="shared" si="6"/>
        <v>950000</v>
      </c>
      <c r="L18" s="168">
        <f t="shared" si="7"/>
        <v>1350000</v>
      </c>
    </row>
    <row r="19" spans="1:12" s="170" customFormat="1"/>
    <row r="20" spans="1:12">
      <c r="D20" s="172"/>
      <c r="J20" s="188" t="s">
        <v>433</v>
      </c>
      <c r="K20" s="188"/>
    </row>
    <row r="21" spans="1:12">
      <c r="D21" s="172"/>
    </row>
    <row r="22" spans="1:12" ht="21" customHeight="1"/>
    <row r="23" spans="1:12">
      <c r="J23" s="189" t="s">
        <v>434</v>
      </c>
      <c r="K23" s="189"/>
    </row>
  </sheetData>
  <mergeCells count="19">
    <mergeCell ref="A12:A14"/>
    <mergeCell ref="C12:L12"/>
    <mergeCell ref="C13:D13"/>
    <mergeCell ref="A2:L2"/>
    <mergeCell ref="A4:A6"/>
    <mergeCell ref="C4:L4"/>
    <mergeCell ref="C5:D5"/>
    <mergeCell ref="E5:F5"/>
    <mergeCell ref="G5:H5"/>
    <mergeCell ref="I5:J5"/>
    <mergeCell ref="K5:L5"/>
    <mergeCell ref="J20:K20"/>
    <mergeCell ref="J23:K23"/>
    <mergeCell ref="B4:B6"/>
    <mergeCell ref="B12:B14"/>
    <mergeCell ref="E13:F13"/>
    <mergeCell ref="G13:H13"/>
    <mergeCell ref="I13:J13"/>
    <mergeCell ref="K13:L13"/>
  </mergeCells>
  <pageMargins left="0.69930555555555596" right="0.69930555555555596" top="0.75" bottom="0.75" header="0.3" footer="0.3"/>
  <pageSetup paperSize="9" scale="8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D90AE-B7D1-4B27-82B3-F1DF4B851E1B}">
  <dimension ref="A1:E19"/>
  <sheetViews>
    <sheetView topLeftCell="A6" workbookViewId="0">
      <selection activeCell="C12" sqref="C12"/>
    </sheetView>
  </sheetViews>
  <sheetFormatPr defaultColWidth="9" defaultRowHeight="14.5"/>
  <cols>
    <col min="1" max="1" width="15.26953125" style="161" customWidth="1"/>
    <col min="2" max="5" width="12.81640625" style="161" customWidth="1"/>
    <col min="6" max="16384" width="9" style="161"/>
  </cols>
  <sheetData>
    <row r="1" spans="1:5" hidden="1">
      <c r="B1" s="188">
        <v>1</v>
      </c>
      <c r="C1" s="188"/>
      <c r="D1" s="188">
        <v>3</v>
      </c>
      <c r="E1" s="188"/>
    </row>
    <row r="2" spans="1:5" s="159" customFormat="1" hidden="1">
      <c r="A2" s="173"/>
      <c r="B2" s="159" t="s">
        <v>155</v>
      </c>
      <c r="C2" s="159" t="s">
        <v>133</v>
      </c>
      <c r="D2" s="159" t="s">
        <v>155</v>
      </c>
      <c r="E2" s="159" t="s">
        <v>133</v>
      </c>
    </row>
    <row r="3" spans="1:5" hidden="1">
      <c r="A3" s="159" t="s">
        <v>368</v>
      </c>
      <c r="B3" s="160">
        <v>1000000</v>
      </c>
      <c r="C3" s="160">
        <v>1050000</v>
      </c>
      <c r="D3" s="160">
        <v>1050000</v>
      </c>
      <c r="E3" s="160">
        <v>1100000</v>
      </c>
    </row>
    <row r="4" spans="1:5" hidden="1">
      <c r="A4" s="159" t="s">
        <v>273</v>
      </c>
      <c r="B4" s="160">
        <v>1300000</v>
      </c>
      <c r="C4" s="160">
        <v>1400000</v>
      </c>
      <c r="D4" s="160">
        <v>1350000</v>
      </c>
      <c r="E4" s="160">
        <v>1450000</v>
      </c>
    </row>
    <row r="5" spans="1:5" hidden="1">
      <c r="A5" s="159" t="s">
        <v>369</v>
      </c>
      <c r="B5" s="160">
        <v>1300000</v>
      </c>
      <c r="C5" s="160">
        <v>1400000</v>
      </c>
      <c r="D5" s="160">
        <v>1350000</v>
      </c>
      <c r="E5" s="160">
        <v>1450000</v>
      </c>
    </row>
    <row r="6" spans="1:5">
      <c r="A6" s="201" t="s">
        <v>435</v>
      </c>
      <c r="B6" s="201"/>
      <c r="C6" s="201"/>
      <c r="D6" s="201"/>
      <c r="E6" s="201"/>
    </row>
    <row r="7" spans="1:5">
      <c r="A7" s="159"/>
      <c r="B7" s="160"/>
      <c r="C7" s="160"/>
      <c r="D7" s="160"/>
      <c r="E7" s="160"/>
    </row>
    <row r="8" spans="1:5" ht="15" thickBot="1">
      <c r="A8" s="202" t="s">
        <v>421</v>
      </c>
      <c r="B8" s="203" t="s">
        <v>422</v>
      </c>
      <c r="C8" s="204"/>
      <c r="D8" s="204"/>
      <c r="E8" s="204"/>
    </row>
    <row r="9" spans="1:5">
      <c r="A9" s="194"/>
      <c r="B9" s="205" t="s">
        <v>436</v>
      </c>
      <c r="C9" s="206"/>
      <c r="D9" s="207" t="s">
        <v>437</v>
      </c>
      <c r="E9" s="206"/>
    </row>
    <row r="10" spans="1:5" ht="15" thickBot="1">
      <c r="A10" s="194"/>
      <c r="B10" s="174" t="s">
        <v>155</v>
      </c>
      <c r="C10" s="181" t="s">
        <v>133</v>
      </c>
      <c r="D10" s="182" t="s">
        <v>155</v>
      </c>
      <c r="E10" s="181" t="s">
        <v>133</v>
      </c>
    </row>
    <row r="11" spans="1:5" s="170" customFormat="1" ht="20.149999999999999" customHeight="1" thickBot="1">
      <c r="A11" s="179" t="s">
        <v>368</v>
      </c>
      <c r="B11" s="180">
        <v>300000</v>
      </c>
      <c r="C11" s="180">
        <v>500000</v>
      </c>
      <c r="D11" s="180">
        <f>B11+50000</f>
        <v>350000</v>
      </c>
      <c r="E11" s="180">
        <f>C11+50000</f>
        <v>550000</v>
      </c>
    </row>
    <row r="12" spans="1:5" s="170" customFormat="1" ht="20.149999999999999" customHeight="1" thickBot="1">
      <c r="A12" s="179" t="s">
        <v>273</v>
      </c>
      <c r="B12" s="180">
        <v>300000</v>
      </c>
      <c r="C12" s="180">
        <v>500000</v>
      </c>
      <c r="D12" s="180">
        <f t="shared" ref="D12:D14" si="0">B12+50000</f>
        <v>350000</v>
      </c>
      <c r="E12" s="180">
        <f t="shared" ref="E12:E14" si="1">C12+50000</f>
        <v>550000</v>
      </c>
    </row>
    <row r="13" spans="1:5" s="170" customFormat="1" ht="20.149999999999999" customHeight="1" thickBot="1">
      <c r="A13" s="179" t="s">
        <v>369</v>
      </c>
      <c r="B13" s="180">
        <v>300000</v>
      </c>
      <c r="C13" s="180">
        <v>500000</v>
      </c>
      <c r="D13" s="180">
        <f t="shared" si="0"/>
        <v>350000</v>
      </c>
      <c r="E13" s="180">
        <f t="shared" si="1"/>
        <v>550000</v>
      </c>
    </row>
    <row r="14" spans="1:5" s="170" customFormat="1" ht="15" thickBot="1">
      <c r="A14" s="179" t="s">
        <v>438</v>
      </c>
      <c r="B14" s="180">
        <v>300000</v>
      </c>
      <c r="C14" s="180">
        <v>500000</v>
      </c>
      <c r="D14" s="180">
        <f t="shared" si="0"/>
        <v>350000</v>
      </c>
      <c r="E14" s="180">
        <f t="shared" si="1"/>
        <v>550000</v>
      </c>
    </row>
    <row r="16" spans="1:5">
      <c r="A16" s="175"/>
      <c r="C16" s="176"/>
    </row>
    <row r="19" ht="21" customHeight="1"/>
  </sheetData>
  <mergeCells count="7">
    <mergeCell ref="B1:C1"/>
    <mergeCell ref="D1:E1"/>
    <mergeCell ref="A6:E6"/>
    <mergeCell ref="A8:A10"/>
    <mergeCell ref="B8:E8"/>
    <mergeCell ref="B9:C9"/>
    <mergeCell ref="D9:E9"/>
  </mergeCells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03A22-9892-42C8-A3D9-3B941A587878}">
  <sheetPr>
    <tabColor rgb="FF92D050"/>
  </sheetPr>
  <dimension ref="A1:AH88"/>
  <sheetViews>
    <sheetView showGridLines="0" zoomScale="67" zoomScaleNormal="56" workbookViewId="0">
      <pane xSplit="2" ySplit="7" topLeftCell="C8" activePane="bottomRight" state="frozen"/>
      <selection pane="topRight"/>
      <selection pane="bottomLeft"/>
      <selection pane="bottomRight" activeCell="M13" sqref="M13"/>
    </sheetView>
  </sheetViews>
  <sheetFormatPr defaultColWidth="9.1796875" defaultRowHeight="11.5"/>
  <cols>
    <col min="1" max="1" width="4.453125" style="126" customWidth="1"/>
    <col min="2" max="2" width="29.7265625" style="126" customWidth="1"/>
    <col min="3" max="3" width="11.54296875" style="126" customWidth="1"/>
    <col min="4" max="4" width="21.54296875" style="127" bestFit="1" customWidth="1"/>
    <col min="5" max="5" width="13.26953125" style="127" bestFit="1" customWidth="1"/>
    <col min="6" max="6" width="21" style="127" bestFit="1" customWidth="1"/>
    <col min="7" max="7" width="20.54296875" style="126" customWidth="1"/>
    <col min="8" max="8" width="17.7265625" style="126" customWidth="1"/>
    <col min="9" max="9" width="14.7265625" style="126" bestFit="1" customWidth="1"/>
    <col min="10" max="10" width="19.453125" style="128" customWidth="1"/>
    <col min="11" max="11" width="23.54296875" style="126" customWidth="1"/>
    <col min="12" max="12" width="19.26953125" style="128" customWidth="1"/>
    <col min="13" max="13" width="20" style="128" bestFit="1" customWidth="1"/>
    <col min="14" max="14" width="21" style="128" bestFit="1" customWidth="1"/>
    <col min="15" max="15" width="25" style="126" customWidth="1"/>
    <col min="16" max="17" width="25.453125" style="128" customWidth="1"/>
    <col min="18" max="18" width="15" style="128" customWidth="1"/>
    <col min="19" max="19" width="22.7265625" style="126" customWidth="1"/>
    <col min="20" max="20" width="16.1796875" style="126" customWidth="1"/>
    <col min="21" max="24" width="15.26953125" style="126" customWidth="1"/>
    <col min="25" max="25" width="26.453125" style="126" customWidth="1"/>
    <col min="26" max="26" width="26.1796875" style="126" customWidth="1"/>
    <col min="27" max="27" width="21.453125" style="128" customWidth="1"/>
    <col min="28" max="29" width="21.453125" style="126" customWidth="1"/>
    <col min="30" max="30" width="29.81640625" style="126" customWidth="1"/>
    <col min="31" max="31" width="27" style="126" customWidth="1"/>
    <col min="32" max="32" width="24.7265625" style="126" customWidth="1"/>
    <col min="33" max="33" width="22.1796875" style="126" customWidth="1"/>
    <col min="34" max="34" width="29.26953125" style="126" customWidth="1"/>
    <col min="35" max="35" width="9.1796875" style="126"/>
    <col min="36" max="111" width="4.7265625" style="126" customWidth="1"/>
    <col min="112" max="16384" width="9.1796875" style="126"/>
  </cols>
  <sheetData>
    <row r="1" spans="1:34" s="120" customFormat="1" ht="18">
      <c r="A1" s="116" t="s">
        <v>90</v>
      </c>
      <c r="B1" s="117"/>
      <c r="C1" s="117"/>
      <c r="D1" s="118"/>
      <c r="E1" s="118"/>
      <c r="F1" s="118"/>
      <c r="G1" s="119"/>
      <c r="H1" s="119"/>
      <c r="I1" s="119"/>
      <c r="J1" s="117"/>
      <c r="L1" s="121"/>
      <c r="M1" s="121"/>
      <c r="N1" s="121"/>
      <c r="P1" s="121"/>
      <c r="Q1" s="121"/>
      <c r="R1" s="121"/>
      <c r="AA1" s="121"/>
    </row>
    <row r="2" spans="1:34" s="120" customFormat="1" ht="18">
      <c r="A2" s="122" t="s">
        <v>91</v>
      </c>
      <c r="B2" s="117"/>
      <c r="C2" s="117"/>
      <c r="D2" s="118"/>
      <c r="E2" s="118"/>
      <c r="F2" s="118"/>
      <c r="G2" s="119"/>
      <c r="H2" s="119"/>
      <c r="I2" s="119"/>
      <c r="J2" s="117"/>
      <c r="L2" s="121"/>
      <c r="M2" s="121"/>
      <c r="N2" s="121"/>
      <c r="P2" s="121"/>
      <c r="Q2" s="121"/>
      <c r="R2" s="121"/>
      <c r="AA2" s="121"/>
    </row>
    <row r="3" spans="1:34" s="120" customFormat="1" ht="18">
      <c r="A3" s="122" t="s">
        <v>277</v>
      </c>
      <c r="B3" s="117"/>
      <c r="C3" s="117"/>
      <c r="D3" s="118"/>
      <c r="E3" s="118"/>
      <c r="F3" s="118"/>
      <c r="G3" s="119"/>
      <c r="H3" s="119"/>
      <c r="I3" s="119"/>
      <c r="J3" s="117"/>
      <c r="L3" s="121"/>
      <c r="M3" s="121"/>
      <c r="N3" s="121"/>
      <c r="P3" s="121"/>
      <c r="Q3" s="121"/>
      <c r="R3" s="121"/>
      <c r="AA3" s="121"/>
    </row>
    <row r="4" spans="1:34" s="120" customFormat="1" ht="18">
      <c r="A4" s="123" t="s">
        <v>88</v>
      </c>
      <c r="B4" s="124"/>
      <c r="C4" s="124"/>
      <c r="D4" s="125"/>
      <c r="E4" s="125"/>
      <c r="F4" s="125"/>
      <c r="G4" s="124"/>
      <c r="H4" s="124"/>
      <c r="I4" s="124"/>
      <c r="J4" s="121"/>
      <c r="L4" s="121"/>
      <c r="M4" s="121"/>
      <c r="N4" s="121"/>
      <c r="P4" s="121"/>
      <c r="Q4" s="121"/>
      <c r="R4" s="121"/>
      <c r="AA4" s="121"/>
    </row>
    <row r="5" spans="1:34" ht="16" thickBot="1">
      <c r="A5" s="123"/>
    </row>
    <row r="6" spans="1:34" ht="20.25" customHeight="1" thickTop="1" thickBot="1">
      <c r="A6" s="184" t="s">
        <v>31</v>
      </c>
      <c r="B6" s="184" t="s">
        <v>38</v>
      </c>
      <c r="C6" s="184" t="s">
        <v>94</v>
      </c>
      <c r="D6" s="185" t="s">
        <v>95</v>
      </c>
      <c r="E6" s="185" t="s">
        <v>96</v>
      </c>
      <c r="F6" s="185" t="s">
        <v>97</v>
      </c>
      <c r="G6" s="184" t="s">
        <v>98</v>
      </c>
      <c r="H6" s="184" t="s">
        <v>99</v>
      </c>
      <c r="I6" s="184" t="s">
        <v>100</v>
      </c>
      <c r="J6" s="184" t="s">
        <v>101</v>
      </c>
      <c r="K6" s="184" t="s">
        <v>102</v>
      </c>
      <c r="L6" s="184" t="s">
        <v>103</v>
      </c>
      <c r="M6" s="184" t="s">
        <v>104</v>
      </c>
      <c r="N6" s="184" t="s">
        <v>105</v>
      </c>
      <c r="O6" s="184" t="s">
        <v>106</v>
      </c>
      <c r="P6" s="184" t="s">
        <v>107</v>
      </c>
      <c r="Q6" s="184" t="s">
        <v>108</v>
      </c>
      <c r="R6" s="184" t="s">
        <v>109</v>
      </c>
      <c r="S6" s="184" t="s">
        <v>110</v>
      </c>
      <c r="T6" s="184" t="s">
        <v>111</v>
      </c>
      <c r="U6" s="184" t="s">
        <v>112</v>
      </c>
      <c r="V6" s="184" t="s">
        <v>113</v>
      </c>
      <c r="W6" s="184" t="s">
        <v>114</v>
      </c>
      <c r="X6" s="186" t="s">
        <v>115</v>
      </c>
      <c r="Y6" s="184" t="s">
        <v>116</v>
      </c>
      <c r="Z6" s="184"/>
      <c r="AA6" s="184" t="s">
        <v>117</v>
      </c>
      <c r="AB6" s="184" t="s">
        <v>118</v>
      </c>
      <c r="AC6" s="184" t="s">
        <v>119</v>
      </c>
      <c r="AD6" s="184" t="s">
        <v>120</v>
      </c>
      <c r="AE6" s="184" t="s">
        <v>121</v>
      </c>
      <c r="AF6" s="184" t="s">
        <v>122</v>
      </c>
      <c r="AG6" s="186" t="s">
        <v>123</v>
      </c>
      <c r="AH6" s="184" t="s">
        <v>124</v>
      </c>
    </row>
    <row r="7" spans="1:34" ht="27.75" customHeight="1" thickTop="1" thickBot="1">
      <c r="A7" s="184"/>
      <c r="B7" s="184"/>
      <c r="C7" s="184"/>
      <c r="D7" s="185"/>
      <c r="E7" s="185"/>
      <c r="F7" s="185"/>
      <c r="G7" s="184"/>
      <c r="H7" s="184"/>
      <c r="I7" s="184"/>
      <c r="J7" s="184"/>
      <c r="K7" s="184"/>
      <c r="L7" s="184"/>
      <c r="M7" s="184"/>
      <c r="N7" s="184"/>
      <c r="O7" s="184"/>
      <c r="P7" s="186"/>
      <c r="Q7" s="184"/>
      <c r="R7" s="184"/>
      <c r="S7" s="184"/>
      <c r="T7" s="184"/>
      <c r="U7" s="184"/>
      <c r="V7" s="184"/>
      <c r="W7" s="184"/>
      <c r="X7" s="187"/>
      <c r="Y7" s="129" t="s">
        <v>125</v>
      </c>
      <c r="Z7" s="129" t="s">
        <v>126</v>
      </c>
      <c r="AA7" s="184"/>
      <c r="AB7" s="184"/>
      <c r="AC7" s="184"/>
      <c r="AD7" s="184"/>
      <c r="AE7" s="184"/>
      <c r="AF7" s="184"/>
      <c r="AG7" s="187"/>
      <c r="AH7" s="184"/>
    </row>
    <row r="8" spans="1:34" ht="30.65" customHeight="1" thickTop="1">
      <c r="A8" s="130">
        <v>1</v>
      </c>
      <c r="B8" s="131" t="s">
        <v>278</v>
      </c>
      <c r="C8" s="132" t="s">
        <v>128</v>
      </c>
      <c r="D8" s="133">
        <v>42552</v>
      </c>
      <c r="E8" s="134">
        <f t="shared" ref="E8:E13" ca="1" si="0">TODAY()</f>
        <v>46244</v>
      </c>
      <c r="F8" s="134" t="str">
        <f ca="1">DATEDIF(D8,E8,"y")&amp;" "&amp;"Tahun"&amp;" "&amp;DATEDIF(D8,E8,"ym")&amp;" "&amp;"Bulan"&amp;" "&amp;DATEDIF(D8,E8,"md")&amp;" "&amp;"Hari"</f>
        <v>10 Tahun 1 Bulan 9 Hari</v>
      </c>
      <c r="G8" s="132" t="s">
        <v>129</v>
      </c>
      <c r="H8" s="132"/>
      <c r="I8" s="132"/>
      <c r="J8" s="135" t="s">
        <v>279</v>
      </c>
      <c r="K8" s="135" t="s">
        <v>280</v>
      </c>
      <c r="L8" s="132" t="s">
        <v>281</v>
      </c>
      <c r="M8" s="136">
        <v>32922</v>
      </c>
      <c r="N8" s="134" t="str">
        <f ca="1">DATEDIF(M8,E8,"y")&amp;" "&amp;"Tahun"&amp;" "&amp;DATEDIF(M8,E8,"ym")&amp;" "&amp;"Bulan"&amp;" "&amp;DATEDIF(M8,E8,"md")&amp;" "&amp;"Hari"</f>
        <v>36 Tahun 5 Bulan 23 Hari</v>
      </c>
      <c r="O8" s="137"/>
      <c r="P8" s="132">
        <v>0</v>
      </c>
      <c r="Q8" s="132"/>
      <c r="R8" s="138" t="s">
        <v>133</v>
      </c>
      <c r="S8" s="132"/>
      <c r="T8" s="139" t="s">
        <v>135</v>
      </c>
      <c r="U8" s="139"/>
      <c r="V8" s="132" t="s">
        <v>137</v>
      </c>
      <c r="W8" s="132">
        <v>0</v>
      </c>
      <c r="X8" s="132">
        <v>0</v>
      </c>
      <c r="Y8" s="132"/>
      <c r="Z8" s="132"/>
      <c r="AA8" s="132"/>
      <c r="AB8" s="132">
        <v>0</v>
      </c>
      <c r="AC8" s="132">
        <v>0</v>
      </c>
      <c r="AD8" s="132">
        <v>0</v>
      </c>
      <c r="AE8" s="132">
        <v>0</v>
      </c>
      <c r="AF8" s="132">
        <v>0</v>
      </c>
      <c r="AG8" s="132">
        <v>0</v>
      </c>
      <c r="AH8" s="140"/>
    </row>
    <row r="9" spans="1:34" ht="30.65" customHeight="1">
      <c r="A9" s="141">
        <v>2</v>
      </c>
      <c r="B9" s="142" t="s">
        <v>282</v>
      </c>
      <c r="C9" s="132" t="s">
        <v>128</v>
      </c>
      <c r="D9" s="133">
        <v>44409</v>
      </c>
      <c r="E9" s="134">
        <f t="shared" ca="1" si="0"/>
        <v>46244</v>
      </c>
      <c r="F9" s="134" t="str">
        <f t="shared" ref="F9:F13" ca="1" si="1">DATEDIF(D9,E9,"y")&amp;" "&amp;"Tahun"&amp;" "&amp;DATEDIF(D9,E9,"ym")&amp;" "&amp;"Bulan"&amp;" "&amp;DATEDIF(D9,E9,"md")&amp;" "&amp;"Hari"</f>
        <v>5 Tahun 0 Bulan 9 Hari</v>
      </c>
      <c r="G9" s="132" t="s">
        <v>129</v>
      </c>
      <c r="H9" s="132"/>
      <c r="I9" s="132"/>
      <c r="J9" s="135" t="s">
        <v>283</v>
      </c>
      <c r="K9" s="135" t="s">
        <v>284</v>
      </c>
      <c r="L9" s="132" t="s">
        <v>285</v>
      </c>
      <c r="M9" s="143">
        <v>35753</v>
      </c>
      <c r="N9" s="134" t="str">
        <f ca="1">DATEDIF(M9,E9,"y")&amp;" "&amp;"Tahun"&amp;" "&amp;DATEDIF(M9,E9,"ym")&amp;" "&amp;"Bulan"&amp;" "&amp;DATEDIF(M9,E9,"md")&amp;" "&amp;"Hari"</f>
        <v>28 Tahun 8 Bulan 22 Hari</v>
      </c>
      <c r="O9" s="137"/>
      <c r="P9" s="132">
        <v>0</v>
      </c>
      <c r="Q9" s="132"/>
      <c r="R9" s="138" t="s">
        <v>133</v>
      </c>
      <c r="S9" s="132"/>
      <c r="T9" s="139" t="s">
        <v>135</v>
      </c>
      <c r="U9" s="139"/>
      <c r="V9" s="132">
        <v>0</v>
      </c>
      <c r="W9" s="132">
        <v>0</v>
      </c>
      <c r="X9" s="132">
        <v>1</v>
      </c>
      <c r="Y9" s="132"/>
      <c r="Z9" s="132">
        <v>0</v>
      </c>
      <c r="AA9" s="132"/>
      <c r="AB9" s="132">
        <v>0</v>
      </c>
      <c r="AC9" s="132">
        <v>0</v>
      </c>
      <c r="AD9" s="132">
        <v>0</v>
      </c>
      <c r="AE9" s="132">
        <v>0</v>
      </c>
      <c r="AF9" s="132">
        <v>0</v>
      </c>
      <c r="AG9" s="132">
        <v>0</v>
      </c>
      <c r="AH9" s="140"/>
    </row>
    <row r="10" spans="1:34" ht="30.65" customHeight="1">
      <c r="A10" s="130">
        <v>3</v>
      </c>
      <c r="B10" s="142" t="s">
        <v>286</v>
      </c>
      <c r="C10" s="132" t="s">
        <v>128</v>
      </c>
      <c r="D10" s="133">
        <v>44753</v>
      </c>
      <c r="E10" s="134">
        <f t="shared" ca="1" si="0"/>
        <v>46244</v>
      </c>
      <c r="F10" s="134" t="str">
        <f t="shared" ca="1" si="1"/>
        <v>4 Tahun 0 Bulan 30 Hari</v>
      </c>
      <c r="G10" s="132" t="s">
        <v>129</v>
      </c>
      <c r="H10" s="132"/>
      <c r="I10" s="132"/>
      <c r="J10" s="135" t="s">
        <v>216</v>
      </c>
      <c r="K10" s="135" t="s">
        <v>287</v>
      </c>
      <c r="L10" s="132" t="s">
        <v>288</v>
      </c>
      <c r="M10" s="143">
        <v>33959</v>
      </c>
      <c r="N10" s="134" t="str">
        <f t="shared" ref="N10:N13" ca="1" si="2">DATEDIF(M10,E10,"y")&amp;" "&amp;"Tahun"&amp;" "&amp;DATEDIF(M10,E10,"ym")&amp;" "&amp;"Bulan"&amp;" "&amp;DATEDIF(M10,E10,"md")&amp;" "&amp;"Hari"</f>
        <v>33 Tahun 7 Bulan 20 Hari</v>
      </c>
      <c r="O10" s="137"/>
      <c r="P10" s="132">
        <v>0</v>
      </c>
      <c r="Q10" s="132"/>
      <c r="R10" s="138" t="s">
        <v>133</v>
      </c>
      <c r="S10" s="132"/>
      <c r="T10" s="139" t="s">
        <v>135</v>
      </c>
      <c r="U10" s="139"/>
      <c r="V10" s="132">
        <v>0</v>
      </c>
      <c r="W10" s="132">
        <v>0</v>
      </c>
      <c r="X10" s="132">
        <v>0</v>
      </c>
      <c r="Y10" s="132"/>
      <c r="Z10" s="132">
        <v>0</v>
      </c>
      <c r="AA10" s="132"/>
      <c r="AB10" s="132">
        <v>0</v>
      </c>
      <c r="AC10" s="132">
        <v>0</v>
      </c>
      <c r="AD10" s="132">
        <v>0</v>
      </c>
      <c r="AE10" s="132">
        <v>0</v>
      </c>
      <c r="AF10" s="132">
        <v>0</v>
      </c>
      <c r="AG10" s="132">
        <v>0</v>
      </c>
      <c r="AH10" s="140"/>
    </row>
    <row r="11" spans="1:34" ht="30.65" customHeight="1">
      <c r="A11" s="141">
        <v>4</v>
      </c>
      <c r="B11" s="142" t="s">
        <v>289</v>
      </c>
      <c r="C11" s="132" t="s">
        <v>128</v>
      </c>
      <c r="D11" s="133">
        <v>45483</v>
      </c>
      <c r="E11" s="134">
        <f t="shared" ca="1" si="0"/>
        <v>46244</v>
      </c>
      <c r="F11" s="134" t="str">
        <f t="shared" ca="1" si="1"/>
        <v>2 Tahun 1 Bulan 0 Hari</v>
      </c>
      <c r="G11" s="132" t="s">
        <v>129</v>
      </c>
      <c r="H11" s="132"/>
      <c r="I11" s="132"/>
      <c r="J11" s="135" t="s">
        <v>216</v>
      </c>
      <c r="K11" s="135" t="s">
        <v>290</v>
      </c>
      <c r="L11" s="132" t="s">
        <v>291</v>
      </c>
      <c r="M11" s="143">
        <v>33710</v>
      </c>
      <c r="N11" s="134" t="str">
        <f t="shared" ca="1" si="2"/>
        <v>34 Tahun 3 Bulan 25 Hari</v>
      </c>
      <c r="O11" s="137"/>
      <c r="P11" s="132">
        <v>0</v>
      </c>
      <c r="Q11" s="132"/>
      <c r="R11" s="138" t="s">
        <v>133</v>
      </c>
      <c r="S11" s="132"/>
      <c r="T11" s="139" t="s">
        <v>135</v>
      </c>
      <c r="U11" s="139"/>
      <c r="V11" s="132">
        <v>0</v>
      </c>
      <c r="W11" s="132">
        <v>0</v>
      </c>
      <c r="X11" s="132">
        <v>2</v>
      </c>
      <c r="Y11" s="132"/>
      <c r="Z11" s="132">
        <v>0</v>
      </c>
      <c r="AA11" s="132"/>
      <c r="AB11" s="132">
        <v>0</v>
      </c>
      <c r="AC11" s="132">
        <v>0</v>
      </c>
      <c r="AD11" s="132">
        <v>0</v>
      </c>
      <c r="AE11" s="132">
        <v>0</v>
      </c>
      <c r="AF11" s="132">
        <v>0</v>
      </c>
      <c r="AG11" s="132">
        <v>0</v>
      </c>
      <c r="AH11" s="140"/>
    </row>
    <row r="12" spans="1:34" ht="30.65" customHeight="1">
      <c r="A12" s="130">
        <v>5</v>
      </c>
      <c r="B12" s="142" t="s">
        <v>292</v>
      </c>
      <c r="C12" s="132" t="s">
        <v>128</v>
      </c>
      <c r="D12" s="133">
        <v>45847</v>
      </c>
      <c r="E12" s="134">
        <f t="shared" ca="1" si="0"/>
        <v>46244</v>
      </c>
      <c r="F12" s="134" t="str">
        <f t="shared" ca="1" si="1"/>
        <v>1 Tahun 1 Bulan 1 Hari</v>
      </c>
      <c r="G12" s="132" t="s">
        <v>204</v>
      </c>
      <c r="H12" s="132"/>
      <c r="I12" s="132"/>
      <c r="J12" s="135" t="s">
        <v>216</v>
      </c>
      <c r="K12" s="135"/>
      <c r="L12" s="132"/>
      <c r="M12" s="143">
        <v>35279</v>
      </c>
      <c r="N12" s="134" t="str">
        <f t="shared" ca="1" si="2"/>
        <v>30 Tahun 0 Bulan 8 Hari</v>
      </c>
      <c r="O12" s="137"/>
      <c r="P12" s="132">
        <v>0</v>
      </c>
      <c r="Q12" s="132"/>
      <c r="R12" s="138" t="s">
        <v>155</v>
      </c>
      <c r="S12" s="132"/>
      <c r="T12" s="139" t="s">
        <v>135</v>
      </c>
      <c r="U12" s="139"/>
      <c r="V12" s="132">
        <v>0</v>
      </c>
      <c r="W12" s="132">
        <v>0</v>
      </c>
      <c r="X12" s="132">
        <v>1</v>
      </c>
      <c r="Y12" s="132"/>
      <c r="Z12" s="132">
        <v>0</v>
      </c>
      <c r="AA12" s="132"/>
      <c r="AB12" s="132">
        <v>0</v>
      </c>
      <c r="AC12" s="132">
        <v>0</v>
      </c>
      <c r="AD12" s="132">
        <v>0</v>
      </c>
      <c r="AE12" s="132">
        <v>0</v>
      </c>
      <c r="AF12" s="132">
        <v>0</v>
      </c>
      <c r="AG12" s="132">
        <v>0</v>
      </c>
      <c r="AH12" s="144"/>
    </row>
    <row r="13" spans="1:34" ht="30.65" customHeight="1">
      <c r="A13" s="141">
        <v>6</v>
      </c>
      <c r="B13" s="142" t="s">
        <v>293</v>
      </c>
      <c r="C13" s="132" t="s">
        <v>128</v>
      </c>
      <c r="D13" s="133">
        <v>45923</v>
      </c>
      <c r="E13" s="134">
        <f t="shared" ca="1" si="0"/>
        <v>46244</v>
      </c>
      <c r="F13" s="134" t="str">
        <f t="shared" ca="1" si="1"/>
        <v>0 Tahun 10 Bulan 18 Hari</v>
      </c>
      <c r="G13" s="132" t="s">
        <v>204</v>
      </c>
      <c r="H13" s="132"/>
      <c r="I13" s="132"/>
      <c r="J13" s="135" t="s">
        <v>216</v>
      </c>
      <c r="K13" s="135"/>
      <c r="L13" s="132" t="s">
        <v>294</v>
      </c>
      <c r="M13" s="143"/>
      <c r="N13" s="134" t="str">
        <f t="shared" ca="1" si="2"/>
        <v>126 Tahun 7 Bulan 10 Hari</v>
      </c>
      <c r="O13" s="137"/>
      <c r="P13" s="132">
        <v>0</v>
      </c>
      <c r="Q13" s="132"/>
      <c r="R13" s="138" t="s">
        <v>133</v>
      </c>
      <c r="S13" s="132"/>
      <c r="T13" s="139" t="s">
        <v>145</v>
      </c>
      <c r="U13" s="139"/>
      <c r="V13" s="132">
        <v>0</v>
      </c>
      <c r="W13" s="132">
        <v>0</v>
      </c>
      <c r="X13" s="132">
        <v>0</v>
      </c>
      <c r="Y13" s="132"/>
      <c r="Z13" s="132">
        <v>0</v>
      </c>
      <c r="AA13" s="132"/>
      <c r="AB13" s="132">
        <v>0</v>
      </c>
      <c r="AC13" s="132">
        <v>0</v>
      </c>
      <c r="AD13" s="132">
        <v>0</v>
      </c>
      <c r="AE13" s="132">
        <v>0</v>
      </c>
      <c r="AF13" s="132">
        <v>0</v>
      </c>
      <c r="AG13" s="132">
        <v>0</v>
      </c>
      <c r="AH13" s="140"/>
    </row>
    <row r="14" spans="1:34" ht="20.149999999999999" customHeight="1"/>
    <row r="15" spans="1:34" ht="20.149999999999999" customHeight="1"/>
    <row r="16" spans="1:34" ht="20.149999999999999" customHeight="1"/>
    <row r="17" ht="20.149999999999999" customHeight="1"/>
    <row r="18" ht="20.149999999999999" customHeight="1"/>
    <row r="19" ht="20.149999999999999" customHeight="1"/>
    <row r="20" ht="20.149999999999999" customHeight="1"/>
    <row r="21" ht="20.149999999999999" customHeight="1"/>
    <row r="22" ht="20.149999999999999" customHeight="1"/>
    <row r="23" ht="20.149999999999999" customHeight="1"/>
    <row r="24" ht="20.149999999999999" customHeight="1"/>
    <row r="25" ht="20.149999999999999" customHeight="1"/>
    <row r="26" ht="20.149999999999999" customHeight="1"/>
    <row r="27" ht="20.149999999999999" customHeight="1"/>
    <row r="28" ht="20.149999999999999" customHeight="1"/>
    <row r="29" ht="20.149999999999999" customHeight="1"/>
    <row r="30" ht="20.149999999999999" customHeight="1"/>
    <row r="31" ht="20.149999999999999" customHeight="1"/>
    <row r="32" ht="20.149999999999999" customHeight="1"/>
    <row r="33" ht="20.149999999999999" customHeight="1"/>
    <row r="34" ht="20.149999999999999" customHeight="1"/>
    <row r="35" ht="20.149999999999999" customHeight="1"/>
    <row r="36" ht="20.149999999999999" customHeight="1"/>
    <row r="37" ht="20.149999999999999" customHeight="1"/>
    <row r="38" ht="20.149999999999999" customHeight="1"/>
    <row r="39" ht="20.149999999999999" customHeight="1"/>
    <row r="40" ht="20.149999999999999" customHeight="1"/>
    <row r="41" ht="20.149999999999999" customHeight="1"/>
    <row r="42" ht="20.149999999999999" customHeight="1"/>
    <row r="43" ht="20.149999999999999" customHeight="1"/>
    <row r="44" ht="20.149999999999999" customHeight="1"/>
    <row r="45" ht="20.149999999999999" customHeight="1"/>
    <row r="46" ht="20.149999999999999" customHeight="1"/>
    <row r="47" ht="20.149999999999999" customHeight="1"/>
    <row r="48" ht="20.149999999999999" customHeight="1"/>
    <row r="49" ht="20.149999999999999" customHeight="1"/>
    <row r="50" ht="20.149999999999999" customHeight="1"/>
    <row r="51" ht="20.149999999999999" customHeight="1"/>
    <row r="52" ht="20.149999999999999" customHeight="1"/>
    <row r="53" ht="20.149999999999999" customHeight="1"/>
    <row r="54" ht="20.149999999999999" customHeight="1"/>
    <row r="55" ht="20.149999999999999" customHeight="1"/>
    <row r="56" ht="20.149999999999999" customHeight="1"/>
    <row r="57" ht="20.149999999999999" customHeight="1"/>
    <row r="58" ht="20.149999999999999" customHeight="1"/>
    <row r="59" ht="20.149999999999999" customHeight="1"/>
    <row r="60" ht="20.149999999999999" customHeight="1"/>
    <row r="61" ht="20.149999999999999" customHeight="1"/>
    <row r="62" ht="20.149999999999999" customHeight="1"/>
    <row r="63" ht="20.149999999999999" customHeight="1"/>
    <row r="64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  <row r="70" ht="20.149999999999999" customHeight="1"/>
    <row r="71" ht="20.149999999999999" customHeight="1"/>
    <row r="72" ht="20.149999999999999" customHeight="1"/>
    <row r="73" ht="20.149999999999999" customHeight="1"/>
    <row r="74" ht="20.149999999999999" customHeight="1"/>
    <row r="75" ht="20.149999999999999" customHeight="1"/>
    <row r="76" ht="20.149999999999999" customHeight="1"/>
    <row r="77" ht="20.149999999999999" customHeight="1"/>
    <row r="78" ht="20.149999999999999" customHeight="1"/>
    <row r="79" ht="20.149999999999999" customHeight="1"/>
    <row r="80" ht="20.149999999999999" customHeight="1"/>
    <row r="81" ht="20.149999999999999" customHeight="1"/>
    <row r="82" ht="20.149999999999999" customHeight="1"/>
    <row r="83" ht="20.149999999999999" customHeight="1"/>
    <row r="84" ht="20.149999999999999" customHeight="1"/>
    <row r="85" ht="20.149999999999999" customHeight="1"/>
    <row r="86" ht="20.149999999999999" customHeight="1"/>
    <row r="87" ht="20.149999999999999" customHeight="1"/>
    <row r="88" ht="20.149999999999999" customHeight="1"/>
  </sheetData>
  <autoFilter ref="A6:AH13" xr:uid="{00000000-0009-0000-0000-000000000000}">
    <sortState xmlns:xlrd2="http://schemas.microsoft.com/office/spreadsheetml/2017/richdata2" ref="A6:AH13">
      <sortCondition ref="D6:D13"/>
    </sortState>
  </autoFilter>
  <mergeCells count="33">
    <mergeCell ref="AF6:AF7"/>
    <mergeCell ref="AG6:AG7"/>
    <mergeCell ref="AH6:AH7"/>
    <mergeCell ref="Y6:Z6"/>
    <mergeCell ref="AA6:AA7"/>
    <mergeCell ref="AB6:AB7"/>
    <mergeCell ref="AC6:AC7"/>
    <mergeCell ref="AD6:AD7"/>
    <mergeCell ref="AE6:AE7"/>
    <mergeCell ref="X6:X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L6:L7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FA81-DC2F-4FF1-85BA-6E599CF2F6D2}">
  <dimension ref="A1:AW40"/>
  <sheetViews>
    <sheetView view="pageBreakPreview" zoomScale="89" zoomScaleNormal="100" zoomScaleSheetLayoutView="89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W16" sqref="AW15:AW16"/>
    </sheetView>
  </sheetViews>
  <sheetFormatPr defaultColWidth="9.1796875" defaultRowHeight="14"/>
  <cols>
    <col min="1" max="1" width="3.81640625" style="58" customWidth="1"/>
    <col min="2" max="2" width="33.1796875" style="58" customWidth="1"/>
    <col min="3" max="3" width="18.54296875" style="58" customWidth="1"/>
    <col min="4" max="4" width="5.81640625" style="58" customWidth="1"/>
    <col min="5" max="13" width="5" style="58" customWidth="1"/>
    <col min="14" max="14" width="12" style="58" customWidth="1"/>
    <col min="15" max="16" width="5" style="58" customWidth="1"/>
    <col min="17" max="17" width="23" style="58" customWidth="1"/>
    <col min="18" max="18" width="5" style="58" customWidth="1"/>
    <col min="19" max="19" width="10.26953125" style="58" customWidth="1"/>
    <col min="20" max="40" width="18.453125" style="58" customWidth="1"/>
    <col min="41" max="41" width="14" style="58" customWidth="1"/>
    <col min="42" max="42" width="10.54296875" style="58" customWidth="1"/>
    <col min="43" max="43" width="14.7265625" style="58" customWidth="1"/>
    <col min="44" max="44" width="12.54296875" style="58" customWidth="1"/>
    <col min="45" max="45" width="10.54296875" style="58" customWidth="1"/>
    <col min="46" max="46" width="8.453125" style="58" customWidth="1"/>
    <col min="47" max="47" width="12.7265625" style="58" customWidth="1"/>
    <col min="48" max="48" width="26.1796875" style="58" customWidth="1"/>
    <col min="49" max="49" width="17" style="7" customWidth="1"/>
    <col min="50" max="16384" width="9.1796875" style="7"/>
  </cols>
  <sheetData>
    <row r="1" spans="1:49" s="6" customFormat="1" ht="20">
      <c r="A1" s="6" t="s">
        <v>419</v>
      </c>
    </row>
    <row r="2" spans="1:49" ht="18">
      <c r="A2" s="74" t="s">
        <v>88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</row>
    <row r="3" spans="1:49" ht="18">
      <c r="A3" s="74"/>
      <c r="B3" s="7" t="s">
        <v>269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40">
        <v>125000</v>
      </c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</row>
    <row r="4" spans="1:49" ht="18">
      <c r="A4" s="74"/>
      <c r="B4" s="7" t="s">
        <v>407</v>
      </c>
      <c r="C4" s="7"/>
      <c r="D4" s="7"/>
      <c r="E4" s="7"/>
      <c r="F4" s="7"/>
      <c r="G4" s="7"/>
      <c r="H4" s="7"/>
      <c r="I4" s="7"/>
      <c r="J4" s="7"/>
      <c r="K4" s="7"/>
      <c r="L4" s="75" t="s">
        <v>84</v>
      </c>
      <c r="M4" s="75"/>
      <c r="N4" s="75"/>
      <c r="O4" s="75"/>
      <c r="P4" s="75"/>
      <c r="Q4" s="75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r="5" spans="1:49" ht="18">
      <c r="A5" s="74"/>
      <c r="B5" s="107">
        <f ca="1">TODAY()</f>
        <v>46244</v>
      </c>
      <c r="C5" s="107"/>
      <c r="D5" s="107"/>
      <c r="E5" s="7"/>
      <c r="F5" s="7"/>
      <c r="G5" s="7"/>
      <c r="H5" s="7"/>
      <c r="I5" s="7"/>
      <c r="J5" s="7"/>
      <c r="K5" s="7"/>
      <c r="L5" s="76" t="s">
        <v>83</v>
      </c>
      <c r="M5" s="76"/>
      <c r="N5" s="76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</row>
    <row r="6" spans="1:49" s="1" customFormat="1" ht="10.5">
      <c r="A6" s="71" t="s">
        <v>0</v>
      </c>
      <c r="B6" s="71"/>
      <c r="C6" s="112"/>
      <c r="D6" s="112"/>
    </row>
    <row r="7" spans="1:49" s="1" customFormat="1" ht="10.5">
      <c r="A7" s="59">
        <v>1</v>
      </c>
      <c r="B7" s="59">
        <v>2</v>
      </c>
      <c r="C7" s="59">
        <v>3</v>
      </c>
      <c r="D7" s="59">
        <v>4</v>
      </c>
      <c r="E7" s="59">
        <v>5</v>
      </c>
      <c r="F7" s="59">
        <v>6</v>
      </c>
      <c r="G7" s="59">
        <v>7</v>
      </c>
      <c r="H7" s="59">
        <v>8</v>
      </c>
      <c r="I7" s="59">
        <v>9</v>
      </c>
      <c r="J7" s="59">
        <v>10</v>
      </c>
      <c r="K7" s="59">
        <v>11</v>
      </c>
      <c r="L7" s="59">
        <v>12</v>
      </c>
      <c r="M7" s="59">
        <v>13</v>
      </c>
      <c r="N7" s="59">
        <v>14</v>
      </c>
      <c r="O7" s="59">
        <v>15</v>
      </c>
      <c r="P7" s="59">
        <v>16</v>
      </c>
      <c r="Q7" s="59">
        <v>17</v>
      </c>
      <c r="R7" s="59">
        <v>18</v>
      </c>
      <c r="S7" s="59">
        <v>19</v>
      </c>
      <c r="T7" s="59">
        <v>20</v>
      </c>
      <c r="U7" s="59">
        <v>21</v>
      </c>
      <c r="V7" s="59">
        <v>22</v>
      </c>
      <c r="W7" s="59">
        <v>23</v>
      </c>
      <c r="X7" s="59">
        <v>24</v>
      </c>
      <c r="Y7" s="59">
        <v>25</v>
      </c>
      <c r="Z7" s="59">
        <v>26</v>
      </c>
      <c r="AA7" s="59">
        <v>27</v>
      </c>
      <c r="AB7" s="59">
        <v>28</v>
      </c>
      <c r="AC7" s="59">
        <v>29</v>
      </c>
      <c r="AD7" s="59">
        <v>30</v>
      </c>
      <c r="AE7" s="59">
        <v>31</v>
      </c>
      <c r="AF7" s="59">
        <v>32</v>
      </c>
      <c r="AG7" s="59">
        <v>33</v>
      </c>
      <c r="AH7" s="59">
        <v>34</v>
      </c>
      <c r="AI7" s="59">
        <v>35</v>
      </c>
      <c r="AJ7" s="59">
        <v>36</v>
      </c>
      <c r="AK7" s="59">
        <v>37</v>
      </c>
      <c r="AL7" s="59">
        <v>38</v>
      </c>
      <c r="AM7" s="59">
        <v>39</v>
      </c>
      <c r="AN7" s="59">
        <v>40</v>
      </c>
      <c r="AO7" s="59">
        <v>41</v>
      </c>
      <c r="AP7" s="59">
        <v>42</v>
      </c>
      <c r="AQ7" s="59">
        <v>43</v>
      </c>
      <c r="AR7" s="59">
        <v>44</v>
      </c>
      <c r="AS7" s="59">
        <v>45</v>
      </c>
      <c r="AT7" s="59">
        <v>46</v>
      </c>
      <c r="AU7" s="59">
        <v>47</v>
      </c>
      <c r="AV7" s="59">
        <v>48</v>
      </c>
      <c r="AW7" s="59">
        <v>49</v>
      </c>
    </row>
    <row r="8" spans="1:49" s="1" customFormat="1" ht="23.25" customHeight="1">
      <c r="A8" s="211" t="s">
        <v>1</v>
      </c>
      <c r="B8" s="211" t="s">
        <v>2</v>
      </c>
      <c r="C8" s="211" t="s">
        <v>101</v>
      </c>
      <c r="D8" s="208" t="s">
        <v>271</v>
      </c>
      <c r="E8" s="208" t="s">
        <v>3</v>
      </c>
      <c r="F8" s="208" t="s">
        <v>4</v>
      </c>
      <c r="G8" s="208" t="s">
        <v>5</v>
      </c>
      <c r="H8" s="226" t="s">
        <v>6</v>
      </c>
      <c r="I8" s="208" t="s">
        <v>7</v>
      </c>
      <c r="J8" s="226" t="s">
        <v>75</v>
      </c>
      <c r="K8" s="226" t="s">
        <v>8</v>
      </c>
      <c r="L8" s="226" t="s">
        <v>9</v>
      </c>
      <c r="M8" s="226" t="s">
        <v>76</v>
      </c>
      <c r="N8" s="214" t="s">
        <v>77</v>
      </c>
      <c r="O8" s="223" t="s">
        <v>398</v>
      </c>
      <c r="P8" s="217" t="s">
        <v>272</v>
      </c>
      <c r="Q8" s="220" t="s">
        <v>70</v>
      </c>
      <c r="R8" s="223" t="s">
        <v>270</v>
      </c>
      <c r="S8" s="223" t="s">
        <v>275</v>
      </c>
      <c r="T8" s="229" t="s">
        <v>11</v>
      </c>
      <c r="U8" s="230"/>
      <c r="V8" s="230"/>
      <c r="W8" s="231"/>
      <c r="X8" s="211" t="s">
        <v>12</v>
      </c>
      <c r="Y8" s="232" t="s">
        <v>13</v>
      </c>
      <c r="Z8" s="233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3"/>
      <c r="AL8" s="234" t="s">
        <v>14</v>
      </c>
      <c r="AM8" s="250" t="s">
        <v>28</v>
      </c>
      <c r="AN8" s="253" t="s">
        <v>15</v>
      </c>
      <c r="AO8" s="254"/>
      <c r="AP8" s="255"/>
      <c r="AQ8" s="5"/>
      <c r="AR8" s="5"/>
      <c r="AS8" s="5"/>
      <c r="AT8" s="5"/>
      <c r="AU8" s="256" t="s">
        <v>16</v>
      </c>
      <c r="AV8" s="259" t="s">
        <v>17</v>
      </c>
      <c r="AW8" s="259" t="s">
        <v>29</v>
      </c>
    </row>
    <row r="9" spans="1:49" s="1" customFormat="1" ht="23.25" customHeight="1">
      <c r="A9" s="212"/>
      <c r="B9" s="212"/>
      <c r="C9" s="212"/>
      <c r="D9" s="209"/>
      <c r="E9" s="209"/>
      <c r="F9" s="209"/>
      <c r="G9" s="209"/>
      <c r="H9" s="227"/>
      <c r="I9" s="209"/>
      <c r="J9" s="227"/>
      <c r="K9" s="227"/>
      <c r="L9" s="227"/>
      <c r="M9" s="227"/>
      <c r="N9" s="215"/>
      <c r="O9" s="224"/>
      <c r="P9" s="218"/>
      <c r="Q9" s="221"/>
      <c r="R9" s="224"/>
      <c r="S9" s="224"/>
      <c r="T9" s="244" t="s">
        <v>30</v>
      </c>
      <c r="U9" s="229" t="s">
        <v>18</v>
      </c>
      <c r="V9" s="230"/>
      <c r="W9" s="231"/>
      <c r="X9" s="212"/>
      <c r="Y9" s="237" t="s">
        <v>19</v>
      </c>
      <c r="Z9" s="237" t="s">
        <v>33</v>
      </c>
      <c r="AA9" s="239" t="s">
        <v>20</v>
      </c>
      <c r="AB9" s="240"/>
      <c r="AC9" s="240"/>
      <c r="AD9" s="241"/>
      <c r="AE9" s="242" t="s">
        <v>86</v>
      </c>
      <c r="AF9" s="237" t="s">
        <v>21</v>
      </c>
      <c r="AG9" s="237" t="s">
        <v>22</v>
      </c>
      <c r="AH9" s="237" t="s">
        <v>23</v>
      </c>
      <c r="AI9" s="237" t="s">
        <v>276</v>
      </c>
      <c r="AJ9" s="237" t="s">
        <v>24</v>
      </c>
      <c r="AK9" s="237" t="s">
        <v>79</v>
      </c>
      <c r="AL9" s="235"/>
      <c r="AM9" s="251"/>
      <c r="AN9" s="246" t="s">
        <v>413</v>
      </c>
      <c r="AO9" s="248" t="s">
        <v>414</v>
      </c>
      <c r="AP9" s="246" t="s">
        <v>10</v>
      </c>
      <c r="AQ9" s="246" t="s">
        <v>71</v>
      </c>
      <c r="AR9" s="246" t="s">
        <v>69</v>
      </c>
      <c r="AS9" s="246" t="s">
        <v>34</v>
      </c>
      <c r="AT9" s="246" t="s">
        <v>81</v>
      </c>
      <c r="AU9" s="257"/>
      <c r="AV9" s="260"/>
      <c r="AW9" s="260"/>
    </row>
    <row r="10" spans="1:49" s="1" customFormat="1" ht="23.25" customHeight="1">
      <c r="A10" s="213"/>
      <c r="B10" s="213"/>
      <c r="C10" s="213"/>
      <c r="D10" s="210"/>
      <c r="E10" s="210"/>
      <c r="F10" s="210"/>
      <c r="G10" s="210"/>
      <c r="H10" s="228"/>
      <c r="I10" s="210"/>
      <c r="J10" s="228"/>
      <c r="K10" s="228"/>
      <c r="L10" s="228"/>
      <c r="M10" s="228"/>
      <c r="N10" s="216"/>
      <c r="O10" s="225"/>
      <c r="P10" s="219"/>
      <c r="Q10" s="222"/>
      <c r="R10" s="225"/>
      <c r="S10" s="224"/>
      <c r="T10" s="245"/>
      <c r="U10" s="4" t="s">
        <v>25</v>
      </c>
      <c r="V10" s="2" t="s">
        <v>26</v>
      </c>
      <c r="W10" s="3" t="s">
        <v>27</v>
      </c>
      <c r="X10" s="213"/>
      <c r="Y10" s="238"/>
      <c r="Z10" s="238"/>
      <c r="AA10" s="57">
        <v>1</v>
      </c>
      <c r="AB10" s="57">
        <v>2</v>
      </c>
      <c r="AC10" s="57">
        <v>3</v>
      </c>
      <c r="AD10" s="57">
        <v>4</v>
      </c>
      <c r="AE10" s="243"/>
      <c r="AF10" s="238"/>
      <c r="AG10" s="238"/>
      <c r="AH10" s="238"/>
      <c r="AI10" s="238"/>
      <c r="AJ10" s="238"/>
      <c r="AK10" s="238"/>
      <c r="AL10" s="236"/>
      <c r="AM10" s="252"/>
      <c r="AN10" s="247"/>
      <c r="AO10" s="249"/>
      <c r="AP10" s="247"/>
      <c r="AQ10" s="247"/>
      <c r="AR10" s="247"/>
      <c r="AS10" s="247"/>
      <c r="AT10" s="247"/>
      <c r="AU10" s="258"/>
      <c r="AV10" s="261"/>
      <c r="AW10" s="261"/>
    </row>
    <row r="11" spans="1:49" ht="15" customHeight="1">
      <c r="A11" s="70">
        <v>1</v>
      </c>
      <c r="B11" s="111" t="str">
        <f>'Data Base TK Malili'!B8</f>
        <v>SITI FARIDAH,S.Pd,Paud.,Gr</v>
      </c>
      <c r="C11" s="111" t="str">
        <f>'Data Base TK Malili'!J8</f>
        <v>Kepsek</v>
      </c>
      <c r="D11" s="113">
        <f t="shared" ref="D11:D16" si="0">F11+I11</f>
        <v>23</v>
      </c>
      <c r="E11" s="113">
        <v>24</v>
      </c>
      <c r="F11" s="113">
        <f>E11-G11-I11</f>
        <v>22</v>
      </c>
      <c r="G11" s="113">
        <v>1</v>
      </c>
      <c r="H11" s="113">
        <f>E11-G11-I11-J11</f>
        <v>21</v>
      </c>
      <c r="I11" s="114">
        <v>1</v>
      </c>
      <c r="J11" s="113">
        <v>1</v>
      </c>
      <c r="K11" s="113">
        <f>E11-G11-L11-M11</f>
        <v>21</v>
      </c>
      <c r="L11" s="113">
        <v>1</v>
      </c>
      <c r="M11" s="113">
        <v>1</v>
      </c>
      <c r="N11" s="9">
        <v>0</v>
      </c>
      <c r="O11" s="9"/>
      <c r="P11" s="9" t="str">
        <f>'Data Base TK Malili'!R8</f>
        <v>S1</v>
      </c>
      <c r="Q11" s="9" t="str">
        <f ca="1">'Data Base TK Malili'!F8</f>
        <v>10 Tahun 1 Bulan 9 Hari</v>
      </c>
      <c r="R11" s="51">
        <v>10</v>
      </c>
      <c r="S11" s="51" t="str">
        <f>'Data Base TK Malili'!G8</f>
        <v>PT</v>
      </c>
      <c r="T11" s="45">
        <v>1100000</v>
      </c>
      <c r="U11" s="40"/>
      <c r="V11" s="21">
        <f>'Data Base TK Malili'!X8</f>
        <v>0</v>
      </c>
      <c r="W11" s="40">
        <f>V11*20000</f>
        <v>0</v>
      </c>
      <c r="X11" s="40">
        <f>T11+U11+W11</f>
        <v>1100000</v>
      </c>
      <c r="Y11" s="41">
        <v>500000</v>
      </c>
      <c r="Z11" s="41">
        <v>150000</v>
      </c>
      <c r="AA11" s="41">
        <v>100000</v>
      </c>
      <c r="AB11" s="41"/>
      <c r="AC11" s="41"/>
      <c r="AD11" s="41"/>
      <c r="AE11" s="109">
        <f t="shared" ref="AE11:AE18" si="1">SUM(AA11:AD11)</f>
        <v>100000</v>
      </c>
      <c r="AF11" s="41">
        <f>F11*7000</f>
        <v>154000</v>
      </c>
      <c r="AG11" s="40">
        <f t="shared" ref="AG11:AG18" si="2">H11*5000</f>
        <v>105000</v>
      </c>
      <c r="AH11" s="40">
        <f t="shared" ref="AH11:AH18" si="3">K11*5000</f>
        <v>105000</v>
      </c>
      <c r="AI11" s="40">
        <f>O11*5000</f>
        <v>0</v>
      </c>
      <c r="AJ11" s="40">
        <v>150000</v>
      </c>
      <c r="AK11" s="40">
        <v>0</v>
      </c>
      <c r="AL11" s="40">
        <f t="shared" ref="AL11:AL18" si="4">SUM(Y11,Z11,AE11,AF11,AG11,AH11,AI11,AJ11)</f>
        <v>1264000</v>
      </c>
      <c r="AM11" s="40">
        <f t="shared" ref="AM11:AM18" si="5">X11+AL11</f>
        <v>2364000</v>
      </c>
      <c r="AN11" s="40">
        <f>AM11*AO11</f>
        <v>0</v>
      </c>
      <c r="AO11" s="155"/>
      <c r="AP11" s="10">
        <f t="shared" ref="AP11:AP18" si="6">N11</f>
        <v>0</v>
      </c>
      <c r="AQ11" s="40">
        <f>AO11*AP11</f>
        <v>0</v>
      </c>
      <c r="AR11" s="40">
        <v>0</v>
      </c>
      <c r="AS11" s="40">
        <v>0</v>
      </c>
      <c r="AT11" s="40" t="s">
        <v>82</v>
      </c>
      <c r="AU11" s="42">
        <f>SUM(AN11,AQ11,AR11,AS11)</f>
        <v>0</v>
      </c>
      <c r="AV11" s="43" t="str">
        <f t="shared" ref="AV11:AV18" si="7">B11</f>
        <v>SITI FARIDAH,S.Pd,Paud.,Gr</v>
      </c>
      <c r="AW11" s="55">
        <f>AM11-AU11</f>
        <v>2364000</v>
      </c>
    </row>
    <row r="12" spans="1:49" ht="15" customHeight="1">
      <c r="A12" s="70">
        <v>2</v>
      </c>
      <c r="B12" s="111" t="str">
        <f>'Data Base TK Malili'!B9</f>
        <v>IDAYATI,S.Pd.Gr</v>
      </c>
      <c r="C12" s="111" t="str">
        <f>'Data Base TK Malili'!J9</f>
        <v>Bendahara/Wali Kelas</v>
      </c>
      <c r="D12" s="113">
        <f t="shared" si="0"/>
        <v>24</v>
      </c>
      <c r="E12" s="113">
        <v>24</v>
      </c>
      <c r="F12" s="113">
        <f t="shared" ref="F12:F16" si="8">E12-G12-I12</f>
        <v>24</v>
      </c>
      <c r="G12" s="113">
        <v>0</v>
      </c>
      <c r="H12" s="113">
        <f t="shared" ref="H12:H16" si="9">E12-G12-I12-J12</f>
        <v>24</v>
      </c>
      <c r="I12" s="114">
        <v>0</v>
      </c>
      <c r="J12" s="113">
        <v>0</v>
      </c>
      <c r="K12" s="113">
        <f t="shared" ref="K12:K16" si="10">E12-G12-L12-M12</f>
        <v>24</v>
      </c>
      <c r="L12" s="113">
        <v>0</v>
      </c>
      <c r="M12" s="113">
        <v>0</v>
      </c>
      <c r="N12" s="9">
        <v>0</v>
      </c>
      <c r="O12" s="9"/>
      <c r="P12" s="9" t="str">
        <f>'Data Base TK Malili'!R9</f>
        <v>S1</v>
      </c>
      <c r="Q12" s="9" t="str">
        <f ca="1">'Data Base TK Malili'!F9</f>
        <v>5 Tahun 0 Bulan 9 Hari</v>
      </c>
      <c r="R12" s="51">
        <v>5</v>
      </c>
      <c r="S12" s="51" t="str">
        <f>'Data Base TK Malili'!G9</f>
        <v>PT</v>
      </c>
      <c r="T12" s="45">
        <v>1000000</v>
      </c>
      <c r="U12" s="40"/>
      <c r="V12" s="21">
        <f>'Data Base TK Malili'!X9</f>
        <v>1</v>
      </c>
      <c r="W12" s="40">
        <f t="shared" ref="W12:W16" si="11">V12*20000</f>
        <v>20000</v>
      </c>
      <c r="X12" s="40">
        <f>T12+U12+W12</f>
        <v>1020000</v>
      </c>
      <c r="Y12" s="41"/>
      <c r="Z12" s="41"/>
      <c r="AA12" s="41">
        <v>100000</v>
      </c>
      <c r="AB12" s="41"/>
      <c r="AC12" s="41"/>
      <c r="AD12" s="41"/>
      <c r="AE12" s="109">
        <f t="shared" si="1"/>
        <v>100000</v>
      </c>
      <c r="AF12" s="41">
        <f t="shared" ref="AF12:AF18" si="12">F12*7000</f>
        <v>168000</v>
      </c>
      <c r="AG12" s="40">
        <f t="shared" si="2"/>
        <v>120000</v>
      </c>
      <c r="AH12" s="40">
        <f t="shared" si="3"/>
        <v>120000</v>
      </c>
      <c r="AI12" s="40">
        <f t="shared" ref="AI12:AI18" si="13">O12*5000</f>
        <v>0</v>
      </c>
      <c r="AJ12" s="40">
        <v>150000</v>
      </c>
      <c r="AK12" s="40">
        <v>0</v>
      </c>
      <c r="AL12" s="40">
        <f t="shared" si="4"/>
        <v>658000</v>
      </c>
      <c r="AM12" s="40">
        <f t="shared" si="5"/>
        <v>1678000</v>
      </c>
      <c r="AN12" s="40">
        <f t="shared" ref="AN12:AN18" si="14">AM12*AO12</f>
        <v>0</v>
      </c>
      <c r="AO12" s="40"/>
      <c r="AP12" s="10">
        <f t="shared" si="6"/>
        <v>0</v>
      </c>
      <c r="AQ12" s="40">
        <f t="shared" ref="AQ12:AQ18" si="15">AO12*AP12</f>
        <v>0</v>
      </c>
      <c r="AR12" s="40">
        <v>0</v>
      </c>
      <c r="AS12" s="40">
        <v>0</v>
      </c>
      <c r="AT12" s="40" t="s">
        <v>82</v>
      </c>
      <c r="AU12" s="42">
        <f t="shared" ref="AU12:AU18" si="16">SUM(AN12,AQ12,AR12,AS12)</f>
        <v>0</v>
      </c>
      <c r="AV12" s="43" t="str">
        <f t="shared" si="7"/>
        <v>IDAYATI,S.Pd.Gr</v>
      </c>
      <c r="AW12" s="55">
        <f t="shared" ref="AW12:AW18" si="17">AM12-AU12</f>
        <v>1678000</v>
      </c>
    </row>
    <row r="13" spans="1:49" ht="15" customHeight="1">
      <c r="A13" s="70">
        <v>3</v>
      </c>
      <c r="B13" s="111" t="str">
        <f>'Data Base TK Malili'!B10</f>
        <v>NURHIDAYANTY,SE</v>
      </c>
      <c r="C13" s="111" t="str">
        <f>'Data Base TK Malili'!J10</f>
        <v>Wali Kelas</v>
      </c>
      <c r="D13" s="113">
        <f t="shared" si="0"/>
        <v>24</v>
      </c>
      <c r="E13" s="113">
        <v>24</v>
      </c>
      <c r="F13" s="113">
        <f t="shared" si="8"/>
        <v>24</v>
      </c>
      <c r="G13" s="113">
        <v>0</v>
      </c>
      <c r="H13" s="113">
        <f t="shared" si="9"/>
        <v>24</v>
      </c>
      <c r="I13" s="114">
        <v>0</v>
      </c>
      <c r="J13" s="113">
        <v>0</v>
      </c>
      <c r="K13" s="113">
        <f t="shared" si="10"/>
        <v>24</v>
      </c>
      <c r="L13" s="113">
        <v>0</v>
      </c>
      <c r="M13" s="113">
        <v>0</v>
      </c>
      <c r="N13" s="9">
        <v>0</v>
      </c>
      <c r="O13" s="9"/>
      <c r="P13" s="9" t="str">
        <f>'Data Base TK Malili'!R10</f>
        <v>S1</v>
      </c>
      <c r="Q13" s="9" t="str">
        <f ca="1">'Data Base TK Malili'!F10</f>
        <v>4 Tahun 0 Bulan 30 Hari</v>
      </c>
      <c r="R13" s="51">
        <v>4</v>
      </c>
      <c r="S13" s="51" t="str">
        <f>'Data Base TK Malili'!G10</f>
        <v>PT</v>
      </c>
      <c r="T13" s="45">
        <v>950000</v>
      </c>
      <c r="U13" s="40"/>
      <c r="V13" s="21">
        <f>'Data Base TK Malili'!X10</f>
        <v>0</v>
      </c>
      <c r="W13" s="40">
        <f t="shared" si="11"/>
        <v>0</v>
      </c>
      <c r="X13" s="40">
        <f t="shared" ref="X13:X16" si="18">T13+U13+W13</f>
        <v>950000</v>
      </c>
      <c r="Y13" s="41"/>
      <c r="Z13" s="41"/>
      <c r="AA13" s="41">
        <v>100000</v>
      </c>
      <c r="AB13" s="41"/>
      <c r="AC13" s="41"/>
      <c r="AD13" s="41"/>
      <c r="AE13" s="109">
        <f t="shared" si="1"/>
        <v>100000</v>
      </c>
      <c r="AF13" s="41">
        <f t="shared" si="12"/>
        <v>168000</v>
      </c>
      <c r="AG13" s="40">
        <f t="shared" si="2"/>
        <v>120000</v>
      </c>
      <c r="AH13" s="40">
        <f t="shared" si="3"/>
        <v>120000</v>
      </c>
      <c r="AI13" s="40">
        <f t="shared" si="13"/>
        <v>0</v>
      </c>
      <c r="AJ13" s="40">
        <v>150000</v>
      </c>
      <c r="AK13" s="40">
        <v>0</v>
      </c>
      <c r="AL13" s="40">
        <f t="shared" si="4"/>
        <v>658000</v>
      </c>
      <c r="AM13" s="40">
        <f t="shared" si="5"/>
        <v>1608000</v>
      </c>
      <c r="AN13" s="40">
        <f t="shared" si="14"/>
        <v>0</v>
      </c>
      <c r="AO13" s="40"/>
      <c r="AP13" s="10">
        <f t="shared" si="6"/>
        <v>0</v>
      </c>
      <c r="AQ13" s="40">
        <f t="shared" si="15"/>
        <v>0</v>
      </c>
      <c r="AR13" s="40">
        <v>0</v>
      </c>
      <c r="AS13" s="40">
        <v>0</v>
      </c>
      <c r="AT13" s="40" t="s">
        <v>82</v>
      </c>
      <c r="AU13" s="42">
        <f t="shared" si="16"/>
        <v>0</v>
      </c>
      <c r="AV13" s="43" t="str">
        <f t="shared" si="7"/>
        <v>NURHIDAYANTY,SE</v>
      </c>
      <c r="AW13" s="55">
        <f t="shared" si="17"/>
        <v>1608000</v>
      </c>
    </row>
    <row r="14" spans="1:49" s="8" customFormat="1" ht="15" customHeight="1">
      <c r="A14" s="21">
        <v>4</v>
      </c>
      <c r="B14" s="111" t="str">
        <f>'Data Base TK Malili'!B11</f>
        <v>NURMIANTI</v>
      </c>
      <c r="C14" s="111" t="str">
        <f>'Data Base TK Malili'!J11</f>
        <v>Wali Kelas</v>
      </c>
      <c r="D14" s="113">
        <f t="shared" si="0"/>
        <v>24</v>
      </c>
      <c r="E14" s="113">
        <v>24</v>
      </c>
      <c r="F14" s="113">
        <f t="shared" si="8"/>
        <v>24</v>
      </c>
      <c r="G14" s="113">
        <v>0</v>
      </c>
      <c r="H14" s="113">
        <f t="shared" si="9"/>
        <v>24</v>
      </c>
      <c r="I14" s="114">
        <v>0</v>
      </c>
      <c r="J14" s="113">
        <v>0</v>
      </c>
      <c r="K14" s="113">
        <f t="shared" si="10"/>
        <v>24</v>
      </c>
      <c r="L14" s="113">
        <v>0</v>
      </c>
      <c r="M14" s="113">
        <v>0</v>
      </c>
      <c r="N14" s="72">
        <v>0</v>
      </c>
      <c r="O14" s="9"/>
      <c r="P14" s="9" t="str">
        <f>'Data Base TK Malili'!R11</f>
        <v>S1</v>
      </c>
      <c r="Q14" s="9" t="str">
        <f ca="1">'Data Base TK Malili'!F11</f>
        <v>2 Tahun 1 Bulan 0 Hari</v>
      </c>
      <c r="R14" s="73">
        <v>2</v>
      </c>
      <c r="S14" s="51" t="str">
        <f>'Data Base TK Malili'!G11</f>
        <v>PT</v>
      </c>
      <c r="T14" s="45">
        <v>900000</v>
      </c>
      <c r="U14" s="40"/>
      <c r="V14" s="21">
        <f>'Data Base TK Malili'!X11</f>
        <v>2</v>
      </c>
      <c r="W14" s="40">
        <f t="shared" si="11"/>
        <v>40000</v>
      </c>
      <c r="X14" s="40">
        <f t="shared" si="18"/>
        <v>940000</v>
      </c>
      <c r="Y14" s="41"/>
      <c r="Z14" s="41"/>
      <c r="AA14" s="41">
        <v>100000</v>
      </c>
      <c r="AB14" s="41"/>
      <c r="AC14" s="41"/>
      <c r="AD14" s="41"/>
      <c r="AE14" s="109">
        <f t="shared" si="1"/>
        <v>100000</v>
      </c>
      <c r="AF14" s="41">
        <f t="shared" si="12"/>
        <v>168000</v>
      </c>
      <c r="AG14" s="40">
        <f t="shared" si="2"/>
        <v>120000</v>
      </c>
      <c r="AH14" s="40">
        <f t="shared" si="3"/>
        <v>120000</v>
      </c>
      <c r="AI14" s="40">
        <f t="shared" si="13"/>
        <v>0</v>
      </c>
      <c r="AJ14" s="40">
        <v>150000</v>
      </c>
      <c r="AK14" s="40">
        <v>0</v>
      </c>
      <c r="AL14" s="40">
        <f t="shared" si="4"/>
        <v>658000</v>
      </c>
      <c r="AM14" s="40">
        <f t="shared" si="5"/>
        <v>1598000</v>
      </c>
      <c r="AN14" s="40">
        <f t="shared" si="14"/>
        <v>0</v>
      </c>
      <c r="AO14" s="40"/>
      <c r="AP14" s="10">
        <f t="shared" si="6"/>
        <v>0</v>
      </c>
      <c r="AQ14" s="40">
        <f t="shared" si="15"/>
        <v>0</v>
      </c>
      <c r="AR14" s="40">
        <v>0</v>
      </c>
      <c r="AS14" s="40">
        <v>0</v>
      </c>
      <c r="AT14" s="40" t="s">
        <v>82</v>
      </c>
      <c r="AU14" s="40">
        <f t="shared" si="16"/>
        <v>0</v>
      </c>
      <c r="AV14" s="43" t="str">
        <f t="shared" si="7"/>
        <v>NURMIANTI</v>
      </c>
      <c r="AW14" s="55">
        <f t="shared" si="17"/>
        <v>1598000</v>
      </c>
    </row>
    <row r="15" spans="1:49" ht="15" customHeight="1">
      <c r="A15" s="70">
        <v>5</v>
      </c>
      <c r="B15" s="111" t="str">
        <f>'Data Base TK Malili'!B12</f>
        <v>FITRIANI</v>
      </c>
      <c r="C15" s="111" t="str">
        <f>'Data Base TK Malili'!J12</f>
        <v>Wali Kelas</v>
      </c>
      <c r="D15" s="113">
        <f t="shared" si="0"/>
        <v>24</v>
      </c>
      <c r="E15" s="113">
        <v>24</v>
      </c>
      <c r="F15" s="113">
        <f t="shared" si="8"/>
        <v>24</v>
      </c>
      <c r="G15" s="113">
        <v>0</v>
      </c>
      <c r="H15" s="113">
        <f t="shared" si="9"/>
        <v>24</v>
      </c>
      <c r="I15" s="114">
        <v>0</v>
      </c>
      <c r="J15" s="113">
        <v>0</v>
      </c>
      <c r="K15" s="113">
        <f t="shared" si="10"/>
        <v>24</v>
      </c>
      <c r="L15" s="113">
        <v>0</v>
      </c>
      <c r="M15" s="113">
        <v>0</v>
      </c>
      <c r="N15" s="9">
        <v>0</v>
      </c>
      <c r="O15" s="9"/>
      <c r="P15" s="9" t="str">
        <f>'Data Base TK Malili'!R12</f>
        <v>SMA</v>
      </c>
      <c r="Q15" s="9" t="str">
        <f ca="1">'Data Base TK Malili'!F12</f>
        <v>1 Tahun 1 Bulan 1 Hari</v>
      </c>
      <c r="R15" s="51">
        <v>1</v>
      </c>
      <c r="S15" s="51" t="str">
        <f>'Data Base TK Malili'!G12</f>
        <v>PK</v>
      </c>
      <c r="T15" s="154">
        <v>300000</v>
      </c>
      <c r="U15" s="40"/>
      <c r="V15" s="21">
        <f>'Data Base TK Malili'!X12</f>
        <v>1</v>
      </c>
      <c r="W15" s="40">
        <f t="shared" si="11"/>
        <v>20000</v>
      </c>
      <c r="X15" s="40">
        <f t="shared" si="18"/>
        <v>320000</v>
      </c>
      <c r="Y15" s="41"/>
      <c r="Z15" s="41"/>
      <c r="AA15" s="41">
        <v>100000</v>
      </c>
      <c r="AB15" s="41"/>
      <c r="AC15" s="41"/>
      <c r="AD15" s="41"/>
      <c r="AE15" s="109">
        <f t="shared" si="1"/>
        <v>100000</v>
      </c>
      <c r="AF15" s="41">
        <f t="shared" si="12"/>
        <v>168000</v>
      </c>
      <c r="AG15" s="40">
        <f t="shared" si="2"/>
        <v>120000</v>
      </c>
      <c r="AH15" s="40">
        <f t="shared" si="3"/>
        <v>120000</v>
      </c>
      <c r="AI15" s="40">
        <f t="shared" si="13"/>
        <v>0</v>
      </c>
      <c r="AJ15" s="40">
        <v>150000</v>
      </c>
      <c r="AK15" s="40">
        <v>0</v>
      </c>
      <c r="AL15" s="40">
        <f t="shared" si="4"/>
        <v>658000</v>
      </c>
      <c r="AM15" s="40">
        <f t="shared" si="5"/>
        <v>978000</v>
      </c>
      <c r="AN15" s="40">
        <f t="shared" si="14"/>
        <v>0</v>
      </c>
      <c r="AO15" s="40"/>
      <c r="AP15" s="10">
        <f t="shared" si="6"/>
        <v>0</v>
      </c>
      <c r="AQ15" s="40">
        <f t="shared" si="15"/>
        <v>0</v>
      </c>
      <c r="AR15" s="40">
        <v>0</v>
      </c>
      <c r="AS15" s="40">
        <v>0</v>
      </c>
      <c r="AT15" s="40" t="s">
        <v>82</v>
      </c>
      <c r="AU15" s="42">
        <f t="shared" si="16"/>
        <v>0</v>
      </c>
      <c r="AV15" s="43" t="str">
        <f t="shared" si="7"/>
        <v>FITRIANI</v>
      </c>
      <c r="AW15" s="55">
        <f t="shared" si="17"/>
        <v>978000</v>
      </c>
    </row>
    <row r="16" spans="1:49" ht="15" customHeight="1">
      <c r="A16" s="70">
        <v>6</v>
      </c>
      <c r="B16" s="111" t="str">
        <f>'Data Base TK Malili'!B13</f>
        <v>NURAINI PUSPITA,S.Pdi</v>
      </c>
      <c r="C16" s="111" t="str">
        <f>'Data Base TK Malili'!J13</f>
        <v>Wali Kelas</v>
      </c>
      <c r="D16" s="113">
        <f t="shared" si="0"/>
        <v>24</v>
      </c>
      <c r="E16" s="113">
        <v>24</v>
      </c>
      <c r="F16" s="113">
        <f t="shared" si="8"/>
        <v>24</v>
      </c>
      <c r="G16" s="113">
        <v>0</v>
      </c>
      <c r="H16" s="113">
        <f t="shared" si="9"/>
        <v>24</v>
      </c>
      <c r="I16" s="114">
        <v>0</v>
      </c>
      <c r="J16" s="113">
        <v>0</v>
      </c>
      <c r="K16" s="113">
        <f t="shared" si="10"/>
        <v>24</v>
      </c>
      <c r="L16" s="113">
        <v>0</v>
      </c>
      <c r="M16" s="113">
        <v>0</v>
      </c>
      <c r="N16" s="9">
        <v>0</v>
      </c>
      <c r="O16" s="9"/>
      <c r="P16" s="9" t="str">
        <f>'Data Base TK Malili'!R13</f>
        <v>S1</v>
      </c>
      <c r="Q16" s="9" t="str">
        <f ca="1">'Data Base TK Malili'!F13</f>
        <v>0 Tahun 10 Bulan 18 Hari</v>
      </c>
      <c r="R16" s="51">
        <v>0</v>
      </c>
      <c r="S16" s="51" t="str">
        <f>'Data Base TK Malili'!G13</f>
        <v>PK</v>
      </c>
      <c r="T16" s="154">
        <v>500000</v>
      </c>
      <c r="U16" s="40"/>
      <c r="V16" s="21">
        <f>'Data Base TK Malili'!X13</f>
        <v>0</v>
      </c>
      <c r="W16" s="40">
        <f t="shared" si="11"/>
        <v>0</v>
      </c>
      <c r="X16" s="40">
        <f t="shared" si="18"/>
        <v>500000</v>
      </c>
      <c r="Y16" s="41"/>
      <c r="Z16" s="41"/>
      <c r="AA16" s="41">
        <v>100000</v>
      </c>
      <c r="AB16" s="41"/>
      <c r="AC16" s="41"/>
      <c r="AD16" s="41"/>
      <c r="AE16" s="109">
        <f t="shared" si="1"/>
        <v>100000</v>
      </c>
      <c r="AF16" s="41">
        <f t="shared" si="12"/>
        <v>168000</v>
      </c>
      <c r="AG16" s="40">
        <f t="shared" si="2"/>
        <v>120000</v>
      </c>
      <c r="AH16" s="40">
        <f t="shared" si="3"/>
        <v>120000</v>
      </c>
      <c r="AI16" s="40">
        <f t="shared" si="13"/>
        <v>0</v>
      </c>
      <c r="AJ16" s="40">
        <v>150000</v>
      </c>
      <c r="AK16" s="40">
        <v>0</v>
      </c>
      <c r="AL16" s="40">
        <f t="shared" si="4"/>
        <v>658000</v>
      </c>
      <c r="AM16" s="40">
        <f t="shared" si="5"/>
        <v>1158000</v>
      </c>
      <c r="AN16" s="40">
        <f t="shared" si="14"/>
        <v>0</v>
      </c>
      <c r="AO16" s="40"/>
      <c r="AP16" s="10">
        <f t="shared" si="6"/>
        <v>0</v>
      </c>
      <c r="AQ16" s="40">
        <f t="shared" si="15"/>
        <v>0</v>
      </c>
      <c r="AR16" s="40">
        <v>0</v>
      </c>
      <c r="AS16" s="40">
        <v>0</v>
      </c>
      <c r="AT16" s="40" t="s">
        <v>82</v>
      </c>
      <c r="AU16" s="42">
        <f t="shared" si="16"/>
        <v>0</v>
      </c>
      <c r="AV16" s="43" t="str">
        <f t="shared" si="7"/>
        <v>NURAINI PUSPITA,S.Pdi</v>
      </c>
      <c r="AW16" s="55">
        <f t="shared" si="17"/>
        <v>1158000</v>
      </c>
    </row>
    <row r="17" spans="1:49" ht="15" customHeight="1">
      <c r="A17" s="70">
        <v>7</v>
      </c>
      <c r="B17" s="111">
        <f>'Data Base TK Malili'!B14</f>
        <v>0</v>
      </c>
      <c r="C17" s="111">
        <f>'Data Base TK Malili'!J14</f>
        <v>0</v>
      </c>
      <c r="D17" s="113"/>
      <c r="E17" s="113"/>
      <c r="F17" s="113"/>
      <c r="G17" s="113"/>
      <c r="H17" s="113"/>
      <c r="I17" s="114"/>
      <c r="J17" s="113"/>
      <c r="K17" s="113"/>
      <c r="L17" s="113"/>
      <c r="M17" s="113"/>
      <c r="N17" s="9">
        <v>0</v>
      </c>
      <c r="O17" s="9"/>
      <c r="P17" s="9">
        <f>'Data Base TK Malili'!R14</f>
        <v>0</v>
      </c>
      <c r="Q17" s="9">
        <f>'Data Base TK Malili'!F14</f>
        <v>0</v>
      </c>
      <c r="R17" s="51"/>
      <c r="S17" s="51"/>
      <c r="T17" s="45"/>
      <c r="U17" s="40"/>
      <c r="V17" s="21"/>
      <c r="W17" s="40"/>
      <c r="X17" s="40"/>
      <c r="Y17" s="41"/>
      <c r="Z17" s="41"/>
      <c r="AA17" s="41"/>
      <c r="AB17" s="41"/>
      <c r="AC17" s="41"/>
      <c r="AD17" s="41"/>
      <c r="AE17" s="109">
        <f t="shared" si="1"/>
        <v>0</v>
      </c>
      <c r="AF17" s="41">
        <f t="shared" si="12"/>
        <v>0</v>
      </c>
      <c r="AG17" s="40">
        <f t="shared" si="2"/>
        <v>0</v>
      </c>
      <c r="AH17" s="40">
        <f t="shared" si="3"/>
        <v>0</v>
      </c>
      <c r="AI17" s="40">
        <f t="shared" si="13"/>
        <v>0</v>
      </c>
      <c r="AJ17" s="40"/>
      <c r="AK17" s="40">
        <v>0</v>
      </c>
      <c r="AL17" s="40">
        <f t="shared" si="4"/>
        <v>0</v>
      </c>
      <c r="AM17" s="40">
        <f t="shared" si="5"/>
        <v>0</v>
      </c>
      <c r="AN17" s="40">
        <f t="shared" si="14"/>
        <v>0</v>
      </c>
      <c r="AO17" s="40"/>
      <c r="AP17" s="10">
        <f t="shared" si="6"/>
        <v>0</v>
      </c>
      <c r="AQ17" s="40">
        <f t="shared" si="15"/>
        <v>0</v>
      </c>
      <c r="AR17" s="40">
        <v>0</v>
      </c>
      <c r="AS17" s="40">
        <v>0</v>
      </c>
      <c r="AT17" s="40" t="s">
        <v>82</v>
      </c>
      <c r="AU17" s="42">
        <f t="shared" si="16"/>
        <v>0</v>
      </c>
      <c r="AV17" s="43">
        <f t="shared" si="7"/>
        <v>0</v>
      </c>
      <c r="AW17" s="55">
        <f t="shared" si="17"/>
        <v>0</v>
      </c>
    </row>
    <row r="18" spans="1:49" ht="15" customHeight="1">
      <c r="A18" s="70">
        <v>8</v>
      </c>
      <c r="B18" s="111">
        <f>'Data Base TK Malili'!B15</f>
        <v>0</v>
      </c>
      <c r="C18" s="111">
        <f>'Data Base TK Malili'!J15</f>
        <v>0</v>
      </c>
      <c r="D18" s="113"/>
      <c r="E18" s="113"/>
      <c r="F18" s="113"/>
      <c r="G18" s="113"/>
      <c r="H18" s="113"/>
      <c r="I18" s="114"/>
      <c r="J18" s="113"/>
      <c r="K18" s="113"/>
      <c r="L18" s="113"/>
      <c r="M18" s="113"/>
      <c r="N18" s="9">
        <v>0</v>
      </c>
      <c r="O18" s="9"/>
      <c r="P18" s="9">
        <f>'Data Base TK Malili'!R15</f>
        <v>0</v>
      </c>
      <c r="Q18" s="9">
        <f>'Data Base TK Malili'!F15</f>
        <v>0</v>
      </c>
      <c r="R18" s="51"/>
      <c r="S18" s="51"/>
      <c r="T18" s="45"/>
      <c r="U18" s="40"/>
      <c r="V18" s="21"/>
      <c r="W18" s="40"/>
      <c r="X18" s="40"/>
      <c r="Y18" s="41"/>
      <c r="Z18" s="41"/>
      <c r="AA18" s="49"/>
      <c r="AB18" s="49"/>
      <c r="AC18" s="41"/>
      <c r="AD18" s="49"/>
      <c r="AE18" s="109">
        <f t="shared" si="1"/>
        <v>0</v>
      </c>
      <c r="AF18" s="41">
        <f t="shared" si="12"/>
        <v>0</v>
      </c>
      <c r="AG18" s="40">
        <f t="shared" si="2"/>
        <v>0</v>
      </c>
      <c r="AH18" s="40">
        <f t="shared" si="3"/>
        <v>0</v>
      </c>
      <c r="AI18" s="40">
        <f t="shared" si="13"/>
        <v>0</v>
      </c>
      <c r="AJ18" s="40"/>
      <c r="AK18" s="40">
        <v>0</v>
      </c>
      <c r="AL18" s="40">
        <f t="shared" si="4"/>
        <v>0</v>
      </c>
      <c r="AM18" s="40">
        <f t="shared" si="5"/>
        <v>0</v>
      </c>
      <c r="AN18" s="40">
        <f t="shared" si="14"/>
        <v>0</v>
      </c>
      <c r="AO18" s="40"/>
      <c r="AP18" s="10">
        <f t="shared" si="6"/>
        <v>0</v>
      </c>
      <c r="AQ18" s="40">
        <f t="shared" si="15"/>
        <v>0</v>
      </c>
      <c r="AR18" s="40">
        <v>0</v>
      </c>
      <c r="AS18" s="40">
        <v>0</v>
      </c>
      <c r="AT18" s="40" t="s">
        <v>82</v>
      </c>
      <c r="AU18" s="42">
        <f t="shared" si="16"/>
        <v>0</v>
      </c>
      <c r="AV18" s="43">
        <f t="shared" si="7"/>
        <v>0</v>
      </c>
      <c r="AW18" s="55">
        <f t="shared" si="17"/>
        <v>0</v>
      </c>
    </row>
    <row r="19" spans="1:49" s="9" customFormat="1">
      <c r="A19" s="70"/>
      <c r="B19" s="111"/>
      <c r="C19" s="111">
        <f>'Data Base TK Malili'!J16</f>
        <v>0</v>
      </c>
      <c r="D19" s="111"/>
      <c r="E19" s="20"/>
      <c r="F19" s="20"/>
      <c r="H19" s="20"/>
      <c r="K19" s="20"/>
      <c r="R19" s="51"/>
      <c r="S19" s="51"/>
      <c r="T19" s="48"/>
      <c r="U19" s="40"/>
      <c r="V19" s="21"/>
      <c r="W19" s="40"/>
      <c r="X19" s="40"/>
      <c r="Y19" s="41"/>
      <c r="Z19" s="41"/>
      <c r="AA19" s="41"/>
      <c r="AB19" s="41"/>
      <c r="AC19" s="41"/>
      <c r="AD19" s="41"/>
      <c r="AE19" s="41"/>
      <c r="AF19" s="41"/>
      <c r="AG19" s="40"/>
      <c r="AH19" s="40"/>
      <c r="AI19" s="40"/>
      <c r="AJ19" s="40"/>
      <c r="AK19" s="40"/>
      <c r="AL19" s="40"/>
      <c r="AM19" s="40"/>
      <c r="AN19" s="40"/>
      <c r="AO19" s="40"/>
      <c r="AP19" s="10"/>
      <c r="AQ19" s="40"/>
      <c r="AR19" s="40"/>
      <c r="AS19" s="40"/>
      <c r="AT19" s="40"/>
      <c r="AU19" s="42"/>
      <c r="AV19" s="43"/>
      <c r="AW19" s="55">
        <f>SUM(AW11:AW18)</f>
        <v>9384000</v>
      </c>
    </row>
    <row r="20" spans="1:49" s="9" customFormat="1">
      <c r="A20" s="70"/>
      <c r="B20" s="111">
        <f>'Data Base Guru SD'!B44</f>
        <v>0</v>
      </c>
      <c r="C20" s="111"/>
      <c r="D20" s="111"/>
      <c r="E20" s="20"/>
      <c r="F20" s="20"/>
      <c r="H20" s="20"/>
      <c r="K20" s="20"/>
      <c r="Q20" s="9">
        <f>'Data Base Guru SD'!F44</f>
        <v>0</v>
      </c>
      <c r="R20" s="51"/>
      <c r="S20" s="51"/>
      <c r="T20" s="48"/>
      <c r="U20" s="40"/>
      <c r="V20" s="21"/>
      <c r="W20" s="40"/>
      <c r="X20" s="40"/>
      <c r="Y20" s="41"/>
      <c r="Z20" s="41"/>
      <c r="AA20" s="41"/>
      <c r="AB20" s="41"/>
      <c r="AC20" s="41"/>
      <c r="AD20" s="41"/>
      <c r="AE20" s="41"/>
      <c r="AF20" s="41"/>
      <c r="AG20" s="40"/>
      <c r="AH20" s="40"/>
      <c r="AI20" s="40"/>
      <c r="AJ20" s="40"/>
      <c r="AK20" s="40"/>
      <c r="AL20" s="40"/>
      <c r="AM20" s="40"/>
      <c r="AN20" s="40"/>
      <c r="AO20" s="40"/>
      <c r="AP20" s="10"/>
      <c r="AQ20" s="40"/>
      <c r="AR20" s="40"/>
      <c r="AS20" s="40"/>
      <c r="AT20" s="40"/>
      <c r="AU20" s="42"/>
      <c r="AV20" s="43"/>
      <c r="AW20" s="55"/>
    </row>
    <row r="21" spans="1:49">
      <c r="A21" s="61"/>
      <c r="B21" s="67"/>
      <c r="C21" s="67"/>
      <c r="D21" s="67"/>
      <c r="E21" s="68"/>
      <c r="T21" s="62"/>
      <c r="U21" s="60"/>
      <c r="V21" s="63"/>
      <c r="W21" s="54"/>
      <c r="X21" s="54"/>
      <c r="Y21" s="64"/>
      <c r="Z21" s="64"/>
      <c r="AA21" s="64"/>
      <c r="AB21" s="64"/>
      <c r="AC21" s="64"/>
      <c r="AD21" s="64"/>
      <c r="AE21" s="64"/>
      <c r="AF21" s="64"/>
      <c r="AG21" s="54"/>
      <c r="AH21" s="54"/>
      <c r="AI21" s="60"/>
      <c r="AJ21" s="60"/>
      <c r="AK21" s="69"/>
      <c r="AL21" s="54"/>
      <c r="AM21" s="54"/>
      <c r="AN21" s="54"/>
      <c r="AO21" s="60"/>
      <c r="AP21" s="65"/>
      <c r="AQ21" s="60"/>
      <c r="AR21" s="60"/>
      <c r="AS21" s="60"/>
      <c r="AT21" s="60"/>
      <c r="AU21" s="54"/>
      <c r="AV21" s="66"/>
      <c r="AW21" s="46"/>
    </row>
    <row r="22" spans="1:49">
      <c r="A22" s="61"/>
      <c r="B22" s="67"/>
      <c r="C22" s="67"/>
      <c r="D22" s="67"/>
      <c r="E22" s="68"/>
      <c r="T22" s="62"/>
      <c r="U22" s="60"/>
      <c r="V22" s="63"/>
      <c r="W22" s="54"/>
      <c r="X22" s="54"/>
      <c r="Y22" s="64"/>
      <c r="Z22" s="64"/>
      <c r="AA22" s="64"/>
      <c r="AB22" s="64"/>
      <c r="AC22" s="64"/>
      <c r="AD22" s="64"/>
      <c r="AE22" s="64"/>
      <c r="AF22" s="64"/>
      <c r="AG22" s="54"/>
      <c r="AH22" s="54"/>
      <c r="AI22" s="60"/>
      <c r="AJ22" s="60"/>
      <c r="AK22" s="69"/>
      <c r="AL22" s="54"/>
      <c r="AM22" s="54"/>
      <c r="AN22" s="54"/>
      <c r="AO22" s="60"/>
      <c r="AP22" s="65"/>
      <c r="AQ22" s="60"/>
      <c r="AR22" s="60"/>
      <c r="AS22" s="60"/>
      <c r="AT22" s="60"/>
      <c r="AU22" s="54"/>
      <c r="AV22" s="66"/>
      <c r="AW22" s="46"/>
    </row>
    <row r="37" spans="15:49" s="58" customFormat="1">
      <c r="O37" s="53"/>
      <c r="P37" s="53"/>
      <c r="Q37" s="53"/>
      <c r="AW37" s="7"/>
    </row>
    <row r="38" spans="15:49" s="58" customFormat="1" ht="14.15" customHeight="1">
      <c r="O38" s="78"/>
      <c r="P38" s="78"/>
      <c r="Q38" s="78"/>
      <c r="AW38" s="7"/>
    </row>
    <row r="39" spans="15:49" s="58" customFormat="1">
      <c r="O39" s="78"/>
      <c r="P39" s="78"/>
      <c r="Q39" s="78"/>
      <c r="AW39" s="7"/>
    </row>
    <row r="40" spans="15:49" s="58" customFormat="1">
      <c r="O40" s="78"/>
      <c r="P40" s="78"/>
      <c r="Q40" s="78"/>
      <c r="AW40" s="7"/>
    </row>
  </sheetData>
  <mergeCells count="47">
    <mergeCell ref="AU8:AU10"/>
    <mergeCell ref="AV8:AV10"/>
    <mergeCell ref="AW8:AW10"/>
    <mergeCell ref="AT9:AT10"/>
    <mergeCell ref="AR9:AR10"/>
    <mergeCell ref="AS9:AS10"/>
    <mergeCell ref="AK9:AK10"/>
    <mergeCell ref="AN9:AN10"/>
    <mergeCell ref="AO9:AO10"/>
    <mergeCell ref="AP9:AP10"/>
    <mergeCell ref="AQ9:AQ10"/>
    <mergeCell ref="AM8:AM10"/>
    <mergeCell ref="AN8:AP8"/>
    <mergeCell ref="S8:S10"/>
    <mergeCell ref="T8:W8"/>
    <mergeCell ref="X8:X10"/>
    <mergeCell ref="Y8:AK8"/>
    <mergeCell ref="AL8:AL10"/>
    <mergeCell ref="Z9:Z10"/>
    <mergeCell ref="AA9:AD9"/>
    <mergeCell ref="AE9:AE10"/>
    <mergeCell ref="AG9:AG10"/>
    <mergeCell ref="AH9:AH10"/>
    <mergeCell ref="AI9:AI10"/>
    <mergeCell ref="AJ9:AJ10"/>
    <mergeCell ref="T9:T10"/>
    <mergeCell ref="U9:W9"/>
    <mergeCell ref="Y9:Y10"/>
    <mergeCell ref="AF9:AF10"/>
    <mergeCell ref="N8:N10"/>
    <mergeCell ref="P8:P10"/>
    <mergeCell ref="Q8:Q10"/>
    <mergeCell ref="R8:R10"/>
    <mergeCell ref="H8:H10"/>
    <mergeCell ref="I8:I10"/>
    <mergeCell ref="J8:J10"/>
    <mergeCell ref="K8:K10"/>
    <mergeCell ref="L8:L10"/>
    <mergeCell ref="M8:M10"/>
    <mergeCell ref="O8:O10"/>
    <mergeCell ref="G8:G10"/>
    <mergeCell ref="A8:A10"/>
    <mergeCell ref="B8:B10"/>
    <mergeCell ref="D8:D10"/>
    <mergeCell ref="E8:E10"/>
    <mergeCell ref="F8:F10"/>
    <mergeCell ref="C8:C10"/>
  </mergeCells>
  <pageMargins left="0.70866141732283461" right="0.70866141732283461" top="0.74803149606299213" bottom="0.74803149606299213" header="0.31496062992125984" footer="0.31496062992125984"/>
  <pageSetup paperSize="256" scale="56" orientation="landscape" horizontalDpi="4294967293" verticalDpi="300" r:id="rId1"/>
  <colBreaks count="1" manualBreakCount="1">
    <brk id="31" max="57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25C1D-80EF-4A7B-A70A-ED1596DA68E3}">
  <dimension ref="A2:H35"/>
  <sheetViews>
    <sheetView topLeftCell="B16" zoomScale="130" zoomScaleNormal="130" workbookViewId="0">
      <selection activeCell="B29" sqref="B29"/>
    </sheetView>
  </sheetViews>
  <sheetFormatPr defaultColWidth="9.1796875" defaultRowHeight="14.5"/>
  <cols>
    <col min="1" max="1" width="9.1796875" style="22"/>
    <col min="2" max="2" width="11.1796875" style="22" customWidth="1"/>
    <col min="3" max="3" width="26.7265625" style="22" customWidth="1"/>
    <col min="4" max="4" width="24.1796875" style="22" customWidth="1"/>
    <col min="5" max="5" width="19.1796875" style="22" customWidth="1"/>
    <col min="6" max="16384" width="9.1796875" style="22"/>
  </cols>
  <sheetData>
    <row r="2" spans="1:8" ht="15" thickBot="1"/>
    <row r="3" spans="1:8">
      <c r="A3" s="23"/>
      <c r="B3" s="24"/>
      <c r="C3" s="24"/>
      <c r="D3" s="264" t="s">
        <v>39</v>
      </c>
      <c r="E3" s="265"/>
      <c r="H3" s="266">
        <v>1</v>
      </c>
    </row>
    <row r="4" spans="1:8">
      <c r="A4" s="25"/>
      <c r="D4" s="267" t="s">
        <v>45</v>
      </c>
      <c r="E4" s="268"/>
      <c r="H4" s="266"/>
    </row>
    <row r="5" spans="1:8">
      <c r="A5" s="25"/>
      <c r="D5" s="26" t="s">
        <v>46</v>
      </c>
      <c r="E5" s="34">
        <f>IF(LEN(VLOOKUP(H3,'TK Malili'!$A$11:$AX$49,20,FALSE))=0," ",VLOOKUP(H3,'TK Malili'!$A$11:$AX$49,20,FALSE))</f>
        <v>1100000</v>
      </c>
    </row>
    <row r="6" spans="1:8">
      <c r="A6" s="25"/>
      <c r="D6" s="26" t="s">
        <v>47</v>
      </c>
      <c r="E6" s="34" t="str">
        <f>IF(LEN(VLOOKUP(H3,'TK Malili'!$A$11:$AW$49,21,FALSE))=0," ",VLOOKUP(H3,'TK Malili'!$A$11:$AW$49,21,FALSE))</f>
        <v xml:space="preserve"> </v>
      </c>
    </row>
    <row r="7" spans="1:8">
      <c r="A7" s="269" t="s">
        <v>40</v>
      </c>
      <c r="B7" s="270"/>
      <c r="C7" s="271"/>
      <c r="D7" s="26" t="s">
        <v>48</v>
      </c>
      <c r="E7" s="34">
        <f>IF(LEN(VLOOKUP(H3,'TK Malili'!$A$11:$AW$49,23,FALSE))=0,"0",VLOOKUP(H3,'TK Malili'!$A$11:$AW$49,23,FALSE))</f>
        <v>0</v>
      </c>
    </row>
    <row r="8" spans="1:8">
      <c r="A8" s="25" t="s">
        <v>31</v>
      </c>
      <c r="B8" s="272">
        <f>IF(LEN(VLOOKUP(H3,'TK Malili'!$A$11:$AX$49,1,FALSE))=0," ",VLOOKUP(H3,'TK Malili'!$A$11:$AX$49,1,FALSE))</f>
        <v>1</v>
      </c>
      <c r="C8" s="273"/>
      <c r="D8" s="27" t="s">
        <v>49</v>
      </c>
      <c r="E8" s="35">
        <f>SUM(E5:E7)</f>
        <v>1100000</v>
      </c>
    </row>
    <row r="9" spans="1:8">
      <c r="A9" s="25" t="s">
        <v>38</v>
      </c>
      <c r="B9" s="272" t="str">
        <f>IF(LEN(VLOOKUP(H3,'TK Malili'!$A$11:$AX$49,2,FALSE))=0," ",VLOOKUP(H3,'TK Malili'!$A$11:$AX$49,2,FALSE))</f>
        <v>SITI FARIDAH,S.Pd,Paud.,Gr</v>
      </c>
      <c r="C9" s="273"/>
      <c r="D9" s="33" t="s">
        <v>50</v>
      </c>
      <c r="E9" s="36"/>
    </row>
    <row r="10" spans="1:8">
      <c r="A10" s="25"/>
      <c r="C10" s="56"/>
      <c r="D10" s="26" t="s">
        <v>51</v>
      </c>
      <c r="E10" s="34">
        <f>IF(LEN(VLOOKUP(H3,'TK Malili'!$A$11:$AW$49,25,FALSE))=0,"0",VLOOKUP(H3,'TK Malili'!$A$11:$AW$49,25,FALSE))</f>
        <v>500000</v>
      </c>
    </row>
    <row r="11" spans="1:8" ht="15.75" customHeight="1">
      <c r="A11" s="274" t="str">
        <f>'TK Malili'!B3</f>
        <v>Periode 26 Juni 2026 s/d 25 Juli 2026</v>
      </c>
      <c r="B11" s="275"/>
      <c r="C11" s="276"/>
      <c r="D11" s="26" t="s">
        <v>404</v>
      </c>
      <c r="E11" s="34">
        <f>IF(LEN(VLOOKUP(H3,'TK Malili'!$A$11:$AW$49,26,FALSE))=0,"0",VLOOKUP(H3,'TK Malili'!$A$11:$AW$49,26,FALSE))</f>
        <v>150000</v>
      </c>
    </row>
    <row r="12" spans="1:8" ht="15.75" customHeight="1">
      <c r="A12" s="274" t="str">
        <f>'TK Malili'!B4</f>
        <v>TKIT INSAN RABBANI</v>
      </c>
      <c r="B12" s="275"/>
      <c r="C12" s="276"/>
      <c r="D12" s="26" t="s">
        <v>52</v>
      </c>
      <c r="E12" s="39">
        <f>IF(LEN(VLOOKUP(H3,'TK Malili'!$A$11:$AW$49,31,FALSE))=0,"0",VLOOKUP(H3,'TK Malili'!$A$11:$AW$49,31,FALSE))</f>
        <v>100000</v>
      </c>
    </row>
    <row r="13" spans="1:8">
      <c r="A13" s="28" t="s">
        <v>41</v>
      </c>
      <c r="C13" s="38">
        <f>IF(LEN(VLOOKUP(H3,'TK Malili'!$A$11:$AX$49,5,FALSE))=0," ",VLOOKUP(H3,'TK Malili'!$A$11:$AX$49,5,FALSE))</f>
        <v>24</v>
      </c>
      <c r="D13" s="26" t="s">
        <v>53</v>
      </c>
      <c r="E13" s="34"/>
    </row>
    <row r="14" spans="1:8">
      <c r="A14" s="25" t="s">
        <v>42</v>
      </c>
      <c r="C14" s="38">
        <f>IF(LEN(VLOOKUP(H3,'TK Malili'!$A$11:$AX$49,6,FALSE))=0," ",VLOOKUP(H3,'TK Malili'!$A$11:$AX$49,6,FALSE))</f>
        <v>22</v>
      </c>
      <c r="D14" s="26" t="s">
        <v>54</v>
      </c>
      <c r="E14" s="34">
        <f>IF(LEN(VLOOKUP(H3,'TK Malili'!$A$11:$AW$49,33,FALSE))=0,"0",VLOOKUP(H3,'TK Malili'!$A$11:$AW$49,33,FALSE))</f>
        <v>105000</v>
      </c>
    </row>
    <row r="15" spans="1:8">
      <c r="A15" s="25" t="s">
        <v>43</v>
      </c>
      <c r="C15" s="38">
        <f>IF(LEN(VLOOKUP(H3,'TK Malili'!$A$11:$AX$49,7,FALSE))=0," ",VLOOKUP(H3,'TK Malili'!$A$11:$AX$49,7,FALSE))</f>
        <v>1</v>
      </c>
      <c r="D15" s="26" t="s">
        <v>55</v>
      </c>
      <c r="E15" s="34">
        <f>IF(LEN(VLOOKUP(H3,'TK Malili'!$A$11:$AW$49,34,FALSE))=0,"0",VLOOKUP(H3,'TK Malili'!$A$11:$AW$49,34,FALSE))</f>
        <v>105000</v>
      </c>
    </row>
    <row r="16" spans="1:8">
      <c r="A16" s="25" t="s">
        <v>44</v>
      </c>
      <c r="C16" s="38">
        <f>IF(LEN(VLOOKUP(H3,'TK Malili'!$A$11:$AX$49,9,FALSE))=0," ",VLOOKUP(H3,'TK Malili'!$A$11:$AX$49,9,FALSE))</f>
        <v>1</v>
      </c>
      <c r="D16" s="26" t="s">
        <v>56</v>
      </c>
      <c r="E16" s="34">
        <f>IF(LEN(VLOOKUP(H3,'TK Malili'!$A$11:$AW$49,32,FALSE))=0,"0",VLOOKUP(H3,'TK Malili'!$A$11:$AW$49,32,FALSE))</f>
        <v>154000</v>
      </c>
    </row>
    <row r="17" spans="1:5">
      <c r="A17" s="25" t="s">
        <v>403</v>
      </c>
      <c r="C17" s="38">
        <f>IF(LEN(VLOOKUP(H3,'TK Malili'!$A$11:$AX$49,13,FALSE))=0," ",VLOOKUP(H3,'TK Malili'!$A$11:$AX$49,13,FALSE))</f>
        <v>1</v>
      </c>
      <c r="D17" s="26" t="s">
        <v>405</v>
      </c>
      <c r="E17" s="34">
        <f>IF(LEN(VLOOKUP(H3,'TK Malili'!$A$11:$AW$49,35,FALSE))=0,"0",VLOOKUP(H3,'TK Malili'!$A$11:$AW$49,35,FALSE))</f>
        <v>0</v>
      </c>
    </row>
    <row r="18" spans="1:5">
      <c r="A18" s="25" t="s">
        <v>73</v>
      </c>
      <c r="C18" s="50">
        <f>IF(LEN(VLOOKUP(H3,'TK Malili'!$A$11:$AX$49,10,FALSE))=0," ",VLOOKUP(H3,'TK Malili'!$A$11:$AX$49,10,FALSE))</f>
        <v>1</v>
      </c>
      <c r="D18" s="26" t="s">
        <v>59</v>
      </c>
      <c r="E18" s="34">
        <f>IF(LEN(VLOOKUP(H3,'TK Malili'!$A$11:$AW$49,36,FALSE))=0,"0",VLOOKUP(H3,'TK Malili'!$A$11:$AW$49,36,FALSE))</f>
        <v>150000</v>
      </c>
    </row>
    <row r="19" spans="1:5">
      <c r="A19" s="25" t="s">
        <v>74</v>
      </c>
      <c r="C19" s="50">
        <f>IF(LEN(VLOOKUP(H3,'TK Malili'!$A$11:$AX$49,12,FALSE))=0," ",VLOOKUP(H3,'TK Malili'!$A$11:$AX$49,12,FALSE))</f>
        <v>1</v>
      </c>
      <c r="D19" s="26" t="s">
        <v>406</v>
      </c>
      <c r="E19" s="34">
        <f>IF(LEN(VLOOKUP(H3,'TK Malili'!$A$11:$AW$49,37,FALSE))=0,"0",VLOOKUP(H3,'TK Malili'!$A$11:$AW$49,37,FALSE))</f>
        <v>0</v>
      </c>
    </row>
    <row r="20" spans="1:5">
      <c r="A20" s="25" t="s">
        <v>81</v>
      </c>
      <c r="C20" s="52" t="str">
        <f>IF(LEN(VLOOKUP(H3,'TK Malili'!$A$11:$AX$49,46,FALSE))=0,"0",VLOOKUP(H3,'TK Malili'!$A$11:$AX$49,46,FALSE))</f>
        <v>A</v>
      </c>
      <c r="D20" s="26"/>
      <c r="E20" s="34"/>
    </row>
    <row r="21" spans="1:5" ht="13.5" customHeight="1">
      <c r="A21" s="277" t="s">
        <v>57</v>
      </c>
      <c r="B21" s="278"/>
      <c r="C21" s="279"/>
      <c r="D21" s="26"/>
      <c r="E21" s="34"/>
    </row>
    <row r="22" spans="1:5">
      <c r="A22" s="277"/>
      <c r="B22" s="278"/>
      <c r="C22" s="279"/>
      <c r="D22" s="26"/>
      <c r="E22" s="34"/>
    </row>
    <row r="23" spans="1:5">
      <c r="A23" s="277"/>
      <c r="B23" s="278"/>
      <c r="C23" s="279"/>
      <c r="D23" s="26"/>
      <c r="E23" s="34"/>
    </row>
    <row r="24" spans="1:5">
      <c r="A24" s="277"/>
      <c r="B24" s="278"/>
      <c r="C24" s="279"/>
      <c r="D24" s="27" t="s">
        <v>60</v>
      </c>
      <c r="E24" s="35">
        <f>SUM(E10:E23)</f>
        <v>1264000</v>
      </c>
    </row>
    <row r="25" spans="1:5" ht="18.75" customHeight="1">
      <c r="A25" s="44" t="s">
        <v>68</v>
      </c>
      <c r="B25" s="280" t="str">
        <f>'TK Malili'!B4</f>
        <v>TKIT INSAN RABBANI</v>
      </c>
      <c r="C25" s="281"/>
      <c r="D25" s="33" t="s">
        <v>61</v>
      </c>
      <c r="E25" s="37"/>
    </row>
    <row r="26" spans="1:5">
      <c r="A26" s="29"/>
      <c r="B26" s="30"/>
      <c r="C26" s="30"/>
      <c r="D26" s="26" t="s">
        <v>62</v>
      </c>
      <c r="E26" s="34">
        <f>IF(LEN(VLOOKUP(H3,'TK Malili'!$A$11:$AW$49,44,FALSE))=0,"0",VLOOKUP(H3,'TK Malili'!$A$11:$AW$49,44,FALSE))</f>
        <v>0</v>
      </c>
    </row>
    <row r="27" spans="1:5">
      <c r="A27" s="25"/>
      <c r="D27" s="26" t="s">
        <v>72</v>
      </c>
      <c r="E27" s="34">
        <f>IF(LEN(VLOOKUP(H3,'TK Malili'!$A$11:$AW$49,43,FALSE))=0,"0",VLOOKUP(H3,'TK Malili'!$A$11:$AW$49,43,FALSE))</f>
        <v>0</v>
      </c>
    </row>
    <row r="28" spans="1:5">
      <c r="A28" s="25"/>
      <c r="D28" s="26" t="s">
        <v>63</v>
      </c>
      <c r="E28" s="34">
        <f>IF(LEN(VLOOKUP(H3,'TK Malili'!$A$11:$AW$49,45,FALSE))=0,"0",VLOOKUP(H3,'TK Malili'!$A$11:$AW$49,45,FALSE))</f>
        <v>0</v>
      </c>
    </row>
    <row r="29" spans="1:5">
      <c r="A29" s="25"/>
      <c r="D29" s="26" t="s">
        <v>415</v>
      </c>
      <c r="E29" s="34">
        <f>IF(LEN(VLOOKUP(H3,'TK Malili'!$A$11:$AW$49,40,FALSE))=0,"0",VLOOKUP(H3,'TK Malili'!$A$11:$AW$49,40,FALSE))</f>
        <v>0</v>
      </c>
    </row>
    <row r="30" spans="1:5">
      <c r="A30" s="25"/>
      <c r="D30" s="27" t="s">
        <v>64</v>
      </c>
      <c r="E30" s="35">
        <f>SUM(E26:E29)</f>
        <v>0</v>
      </c>
    </row>
    <row r="31" spans="1:5">
      <c r="A31" s="25"/>
      <c r="B31" s="22" t="s">
        <v>402</v>
      </c>
      <c r="D31" s="33" t="s">
        <v>65</v>
      </c>
      <c r="E31" s="37"/>
    </row>
    <row r="32" spans="1:5">
      <c r="A32" s="25"/>
      <c r="D32" s="27" t="s">
        <v>66</v>
      </c>
      <c r="E32" s="35">
        <f>SUM(E8,E24)</f>
        <v>2364000</v>
      </c>
    </row>
    <row r="33" spans="1:5">
      <c r="A33" s="25"/>
      <c r="D33" s="27" t="s">
        <v>64</v>
      </c>
      <c r="E33" s="35">
        <f>E30</f>
        <v>0</v>
      </c>
    </row>
    <row r="34" spans="1:5">
      <c r="A34" s="25"/>
      <c r="D34" s="282" t="s">
        <v>67</v>
      </c>
      <c r="E34" s="262">
        <f>E32-E33</f>
        <v>2364000</v>
      </c>
    </row>
    <row r="35" spans="1:5" ht="15" thickBot="1">
      <c r="A35" s="31"/>
      <c r="B35" s="32"/>
      <c r="C35" s="32"/>
      <c r="D35" s="283"/>
      <c r="E35" s="263"/>
    </row>
  </sheetData>
  <mergeCells count="12">
    <mergeCell ref="E34:E35"/>
    <mergeCell ref="D3:E3"/>
    <mergeCell ref="H3:H4"/>
    <mergeCell ref="D4:E4"/>
    <mergeCell ref="A7:C7"/>
    <mergeCell ref="B8:C8"/>
    <mergeCell ref="B9:C9"/>
    <mergeCell ref="A11:C11"/>
    <mergeCell ref="A12:C12"/>
    <mergeCell ref="A21:C24"/>
    <mergeCell ref="B25:C25"/>
    <mergeCell ref="D34:D35"/>
  </mergeCells>
  <pageMargins left="0.7" right="0.7" top="0.75" bottom="0.75" header="0.3" footer="0.3"/>
  <pageSetup scale="99" orientation="portrait" r:id="rId1"/>
  <colBreaks count="1" manualBreakCount="1">
    <brk id="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zoomScaleNormal="100" workbookViewId="0">
      <selection activeCell="D14" sqref="D14"/>
    </sheetView>
  </sheetViews>
  <sheetFormatPr defaultColWidth="9.1796875" defaultRowHeight="14"/>
  <cols>
    <col min="1" max="1" width="9.1796875" style="11"/>
    <col min="2" max="2" width="30.26953125" style="11" customWidth="1"/>
    <col min="3" max="3" width="22.1796875" style="11" customWidth="1"/>
    <col min="4" max="5" width="26.7265625" style="11" customWidth="1"/>
    <col min="6" max="6" width="24.26953125" style="11" customWidth="1"/>
    <col min="7" max="16384" width="9.1796875" style="11"/>
  </cols>
  <sheetData>
    <row r="1" spans="1:6" ht="22.5" customHeight="1">
      <c r="A1" s="284" t="s">
        <v>80</v>
      </c>
      <c r="B1" s="284"/>
      <c r="C1" s="284"/>
      <c r="D1" s="284"/>
      <c r="E1" s="284"/>
      <c r="F1" s="284"/>
    </row>
    <row r="2" spans="1:6" ht="22.5" customHeight="1">
      <c r="A2" s="284" t="str">
        <f>'TK Malili'!B3</f>
        <v>Periode 26 Juni 2026 s/d 25 Juli 2026</v>
      </c>
      <c r="B2" s="284"/>
      <c r="C2" s="284"/>
      <c r="D2" s="284"/>
      <c r="E2" s="284"/>
      <c r="F2" s="284"/>
    </row>
    <row r="3" spans="1:6" ht="22.5" customHeight="1">
      <c r="A3" s="285" t="str">
        <f>'TK Malili'!B4</f>
        <v>TKIT INSAN RABBANI</v>
      </c>
      <c r="B3" s="285"/>
      <c r="C3" s="285"/>
      <c r="D3" s="285"/>
      <c r="E3" s="285"/>
      <c r="F3" s="285"/>
    </row>
    <row r="4" spans="1:6" ht="31">
      <c r="A4" s="14" t="s">
        <v>1</v>
      </c>
      <c r="B4" s="16" t="s">
        <v>2</v>
      </c>
      <c r="C4" s="16" t="s">
        <v>35</v>
      </c>
      <c r="D4" s="16" t="s">
        <v>36</v>
      </c>
      <c r="E4" s="16" t="s">
        <v>37</v>
      </c>
      <c r="F4" s="15" t="s">
        <v>29</v>
      </c>
    </row>
    <row r="5" spans="1:6" ht="18.75" customHeight="1">
      <c r="A5" s="12">
        <v>1</v>
      </c>
      <c r="B5" s="13" t="str">
        <f>'TK Malili'!B11</f>
        <v>SITI FARIDAH,S.Pd,Paud.,Gr</v>
      </c>
      <c r="C5" s="17">
        <f>'TK Malili'!X11</f>
        <v>1100000</v>
      </c>
      <c r="D5" s="17">
        <f>'TK Malili'!AL11</f>
        <v>1264000</v>
      </c>
      <c r="E5" s="17">
        <f>'TK Malili'!AU11</f>
        <v>0</v>
      </c>
      <c r="F5" s="19">
        <f>'TK Malili'!AW11</f>
        <v>2364000</v>
      </c>
    </row>
    <row r="6" spans="1:6" ht="18.75" customHeight="1">
      <c r="A6" s="12">
        <v>2</v>
      </c>
      <c r="B6" s="13" t="str">
        <f>'TK Malili'!B12</f>
        <v>IDAYATI,S.Pd.Gr</v>
      </c>
      <c r="C6" s="17">
        <f>'TK Malili'!X12</f>
        <v>1020000</v>
      </c>
      <c r="D6" s="17">
        <f>'TK Malili'!AL12</f>
        <v>658000</v>
      </c>
      <c r="E6" s="17">
        <f>'TK Malili'!AU12</f>
        <v>0</v>
      </c>
      <c r="F6" s="19">
        <f>'TK Malili'!AW12</f>
        <v>1678000</v>
      </c>
    </row>
    <row r="7" spans="1:6" ht="18.75" customHeight="1">
      <c r="A7" s="12">
        <v>3</v>
      </c>
      <c r="B7" s="13" t="str">
        <f>'TK Malili'!B13</f>
        <v>NURHIDAYANTY,SE</v>
      </c>
      <c r="C7" s="17">
        <f>'TK Malili'!X13</f>
        <v>950000</v>
      </c>
      <c r="D7" s="17">
        <f>'TK Malili'!AL13</f>
        <v>658000</v>
      </c>
      <c r="E7" s="17">
        <f>'TK Malili'!AU13</f>
        <v>0</v>
      </c>
      <c r="F7" s="19">
        <f>'TK Malili'!AW13</f>
        <v>1608000</v>
      </c>
    </row>
    <row r="8" spans="1:6" ht="18.75" customHeight="1">
      <c r="A8" s="12">
        <v>4</v>
      </c>
      <c r="B8" s="13" t="str">
        <f>'TK Malili'!B14</f>
        <v>NURMIANTI</v>
      </c>
      <c r="C8" s="17">
        <f>'TK Malili'!X14</f>
        <v>940000</v>
      </c>
      <c r="D8" s="17">
        <f>'TK Malili'!AL14</f>
        <v>658000</v>
      </c>
      <c r="E8" s="17">
        <f>'TK Malili'!AU14</f>
        <v>0</v>
      </c>
      <c r="F8" s="19">
        <f>'TK Malili'!AW14</f>
        <v>1598000</v>
      </c>
    </row>
    <row r="9" spans="1:6" ht="18.75" customHeight="1">
      <c r="A9" s="12">
        <v>5</v>
      </c>
      <c r="B9" s="13" t="str">
        <f>'TK Malili'!B15</f>
        <v>FITRIANI</v>
      </c>
      <c r="C9" s="17">
        <f>'TK Malili'!X15</f>
        <v>320000</v>
      </c>
      <c r="D9" s="17">
        <f>'TK Malili'!AL15</f>
        <v>658000</v>
      </c>
      <c r="E9" s="17">
        <f>'TK Malili'!AU15</f>
        <v>0</v>
      </c>
      <c r="F9" s="19">
        <f>'TK Malili'!AW15</f>
        <v>978000</v>
      </c>
    </row>
    <row r="10" spans="1:6" ht="18.75" customHeight="1">
      <c r="A10" s="12">
        <v>6</v>
      </c>
      <c r="B10" s="13" t="str">
        <f>'TK Malili'!B16</f>
        <v>NURAINI PUSPITA,S.Pdi</v>
      </c>
      <c r="C10" s="17">
        <f>'TK Malili'!X16</f>
        <v>500000</v>
      </c>
      <c r="D10" s="17">
        <f>'TK Malili'!AL16</f>
        <v>658000</v>
      </c>
      <c r="E10" s="17">
        <f>'TK Malili'!AU16</f>
        <v>0</v>
      </c>
      <c r="F10" s="19">
        <f>'TK Malili'!AW16</f>
        <v>1158000</v>
      </c>
    </row>
    <row r="11" spans="1:6" ht="18.75" customHeight="1">
      <c r="A11" s="12">
        <v>7</v>
      </c>
      <c r="B11" s="13">
        <f>'TK Malili'!B17</f>
        <v>0</v>
      </c>
      <c r="C11" s="17">
        <f>'TK Malili'!X17</f>
        <v>0</v>
      </c>
      <c r="D11" s="17">
        <f>'TK Malili'!AL17</f>
        <v>0</v>
      </c>
      <c r="E11" s="17">
        <f>'TK Malili'!AU17</f>
        <v>0</v>
      </c>
      <c r="F11" s="19">
        <f>'TK Malili'!AW17</f>
        <v>0</v>
      </c>
    </row>
    <row r="12" spans="1:6">
      <c r="A12" s="286" t="s">
        <v>32</v>
      </c>
      <c r="B12" s="286"/>
      <c r="C12" s="286"/>
      <c r="D12" s="286"/>
      <c r="E12" s="286"/>
      <c r="F12" s="18">
        <f>SUM(F5:F11)</f>
        <v>9384000</v>
      </c>
    </row>
  </sheetData>
  <mergeCells count="4">
    <mergeCell ref="A1:F1"/>
    <mergeCell ref="A2:F2"/>
    <mergeCell ref="A3:F3"/>
    <mergeCell ref="A12:E12"/>
  </mergeCells>
  <pageMargins left="0.7" right="0.7" top="0.75" bottom="0.75" header="0.3" footer="0.3"/>
  <pageSetup paperSize="1000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CB86A-CF96-4443-AAD3-B0EB697BBC89}">
  <sheetPr>
    <tabColor rgb="FFFF0000"/>
  </sheetPr>
  <dimension ref="A1:AH118"/>
  <sheetViews>
    <sheetView showGridLines="0" zoomScale="67" zoomScaleNormal="56" workbookViewId="0">
      <pane xSplit="2" ySplit="7" topLeftCell="C34" activePane="bottomRight" state="frozen"/>
      <selection pane="topRight"/>
      <selection pane="bottomLeft"/>
      <selection pane="bottomRight" activeCell="A28" sqref="A28:A43"/>
    </sheetView>
  </sheetViews>
  <sheetFormatPr defaultColWidth="9.1796875" defaultRowHeight="11.5"/>
  <cols>
    <col min="1" max="1" width="4.453125" style="89" customWidth="1"/>
    <col min="2" max="2" width="29.7265625" style="89" customWidth="1"/>
    <col min="3" max="3" width="11.54296875" style="89" customWidth="1"/>
    <col min="4" max="4" width="21.54296875" style="90" bestFit="1" customWidth="1"/>
    <col min="5" max="5" width="13.26953125" style="90" bestFit="1" customWidth="1"/>
    <col min="6" max="6" width="21" style="90" bestFit="1" customWidth="1"/>
    <col min="7" max="7" width="20.54296875" style="89" customWidth="1"/>
    <col min="8" max="8" width="17.7265625" style="89" customWidth="1"/>
    <col min="9" max="9" width="14.7265625" style="89" bestFit="1" customWidth="1"/>
    <col min="10" max="10" width="19.453125" style="91" customWidth="1"/>
    <col min="11" max="11" width="23.54296875" style="89" customWidth="1"/>
    <col min="12" max="12" width="19.26953125" style="91" customWidth="1"/>
    <col min="13" max="13" width="20" style="91" bestFit="1" customWidth="1"/>
    <col min="14" max="14" width="21" style="91" bestFit="1" customWidth="1"/>
    <col min="15" max="15" width="25" style="89" customWidth="1"/>
    <col min="16" max="17" width="25.453125" style="91" customWidth="1"/>
    <col min="18" max="18" width="15" style="91" customWidth="1"/>
    <col min="19" max="19" width="22.7265625" style="89" customWidth="1"/>
    <col min="20" max="20" width="16.1796875" style="89" customWidth="1"/>
    <col min="21" max="24" width="15.26953125" style="89" customWidth="1"/>
    <col min="25" max="25" width="26.453125" style="89" customWidth="1"/>
    <col min="26" max="26" width="26.1796875" style="89" customWidth="1"/>
    <col min="27" max="27" width="21.453125" style="91" customWidth="1"/>
    <col min="28" max="29" width="21.453125" style="89" customWidth="1"/>
    <col min="30" max="30" width="29.81640625" style="89" customWidth="1"/>
    <col min="31" max="31" width="27" style="89" customWidth="1"/>
    <col min="32" max="32" width="24.7265625" style="89" customWidth="1"/>
    <col min="33" max="33" width="22.1796875" style="89" customWidth="1"/>
    <col min="34" max="34" width="29.26953125" style="89" customWidth="1"/>
    <col min="35" max="35" width="9.1796875" style="89"/>
    <col min="36" max="111" width="4.7265625" style="89" customWidth="1"/>
    <col min="112" max="16384" width="9.1796875" style="89"/>
  </cols>
  <sheetData>
    <row r="1" spans="1:34" s="83" customFormat="1" ht="18">
      <c r="A1" s="79" t="s">
        <v>90</v>
      </c>
      <c r="B1" s="80"/>
      <c r="C1" s="80"/>
      <c r="D1" s="81"/>
      <c r="E1" s="81"/>
      <c r="F1" s="81"/>
      <c r="G1" s="82"/>
      <c r="H1" s="82"/>
      <c r="I1" s="82"/>
      <c r="J1" s="80"/>
      <c r="L1" s="84"/>
      <c r="M1" s="84"/>
      <c r="N1" s="84"/>
      <c r="P1" s="84"/>
      <c r="Q1" s="84"/>
      <c r="R1" s="84"/>
      <c r="AA1" s="84"/>
    </row>
    <row r="2" spans="1:34" s="83" customFormat="1" ht="18">
      <c r="A2" s="85" t="s">
        <v>91</v>
      </c>
      <c r="B2" s="80"/>
      <c r="C2" s="80"/>
      <c r="D2" s="81"/>
      <c r="E2" s="81"/>
      <c r="F2" s="81"/>
      <c r="G2" s="82"/>
      <c r="H2" s="82"/>
      <c r="I2" s="82"/>
      <c r="J2" s="80"/>
      <c r="L2" s="84"/>
      <c r="M2" s="84"/>
      <c r="N2" s="84"/>
      <c r="P2" s="84"/>
      <c r="Q2" s="84"/>
      <c r="R2" s="84"/>
      <c r="AA2" s="84"/>
    </row>
    <row r="3" spans="1:34" s="83" customFormat="1" ht="18">
      <c r="A3" s="85" t="s">
        <v>92</v>
      </c>
      <c r="B3" s="80"/>
      <c r="C3" s="80"/>
      <c r="D3" s="81"/>
      <c r="E3" s="81"/>
      <c r="F3" s="81"/>
      <c r="G3" s="82"/>
      <c r="H3" s="82"/>
      <c r="I3" s="82"/>
      <c r="J3" s="80"/>
      <c r="L3" s="84"/>
      <c r="M3" s="84"/>
      <c r="N3" s="84"/>
      <c r="P3" s="84"/>
      <c r="Q3" s="84"/>
      <c r="R3" s="84"/>
      <c r="AA3" s="84"/>
    </row>
    <row r="4" spans="1:34" s="83" customFormat="1" ht="18">
      <c r="A4" s="86" t="s">
        <v>93</v>
      </c>
      <c r="B4" s="87"/>
      <c r="C4" s="87"/>
      <c r="D4" s="88"/>
      <c r="E4" s="88"/>
      <c r="F4" s="88"/>
      <c r="G4" s="87"/>
      <c r="H4" s="87"/>
      <c r="I4" s="87"/>
      <c r="J4" s="84"/>
      <c r="L4" s="84"/>
      <c r="M4" s="84"/>
      <c r="N4" s="84"/>
      <c r="P4" s="84"/>
      <c r="Q4" s="84"/>
      <c r="R4" s="84"/>
      <c r="AA4" s="84"/>
    </row>
    <row r="5" spans="1:34" ht="16" thickBot="1">
      <c r="A5" s="86"/>
    </row>
    <row r="6" spans="1:34" ht="20.25" customHeight="1" thickTop="1" thickBot="1">
      <c r="A6" s="287" t="s">
        <v>31</v>
      </c>
      <c r="B6" s="287" t="s">
        <v>38</v>
      </c>
      <c r="C6" s="287" t="s">
        <v>94</v>
      </c>
      <c r="D6" s="288" t="s">
        <v>95</v>
      </c>
      <c r="E6" s="288" t="s">
        <v>96</v>
      </c>
      <c r="F6" s="288" t="s">
        <v>97</v>
      </c>
      <c r="G6" s="287" t="s">
        <v>98</v>
      </c>
      <c r="H6" s="287" t="s">
        <v>99</v>
      </c>
      <c r="I6" s="287" t="s">
        <v>100</v>
      </c>
      <c r="J6" s="287" t="s">
        <v>101</v>
      </c>
      <c r="K6" s="287" t="s">
        <v>102</v>
      </c>
      <c r="L6" s="287" t="s">
        <v>103</v>
      </c>
      <c r="M6" s="287" t="s">
        <v>104</v>
      </c>
      <c r="N6" s="287" t="s">
        <v>105</v>
      </c>
      <c r="O6" s="287" t="s">
        <v>106</v>
      </c>
      <c r="P6" s="287" t="s">
        <v>107</v>
      </c>
      <c r="Q6" s="287" t="s">
        <v>108</v>
      </c>
      <c r="R6" s="287" t="s">
        <v>109</v>
      </c>
      <c r="S6" s="287" t="s">
        <v>110</v>
      </c>
      <c r="T6" s="287" t="s">
        <v>111</v>
      </c>
      <c r="U6" s="287" t="s">
        <v>112</v>
      </c>
      <c r="V6" s="287" t="s">
        <v>113</v>
      </c>
      <c r="W6" s="287" t="s">
        <v>114</v>
      </c>
      <c r="X6" s="289" t="s">
        <v>115</v>
      </c>
      <c r="Y6" s="287" t="s">
        <v>116</v>
      </c>
      <c r="Z6" s="287"/>
      <c r="AA6" s="287" t="s">
        <v>117</v>
      </c>
      <c r="AB6" s="287" t="s">
        <v>118</v>
      </c>
      <c r="AC6" s="287" t="s">
        <v>119</v>
      </c>
      <c r="AD6" s="287" t="s">
        <v>120</v>
      </c>
      <c r="AE6" s="287" t="s">
        <v>121</v>
      </c>
      <c r="AF6" s="287" t="s">
        <v>122</v>
      </c>
      <c r="AG6" s="289" t="s">
        <v>123</v>
      </c>
      <c r="AH6" s="287" t="s">
        <v>124</v>
      </c>
    </row>
    <row r="7" spans="1:34" ht="27.75" customHeight="1" thickTop="1" thickBot="1">
      <c r="A7" s="287"/>
      <c r="B7" s="287"/>
      <c r="C7" s="287"/>
      <c r="D7" s="288"/>
      <c r="E7" s="288"/>
      <c r="F7" s="288"/>
      <c r="G7" s="287"/>
      <c r="H7" s="287"/>
      <c r="I7" s="287"/>
      <c r="J7" s="287"/>
      <c r="K7" s="287"/>
      <c r="L7" s="287"/>
      <c r="M7" s="287"/>
      <c r="N7" s="287"/>
      <c r="O7" s="287"/>
      <c r="P7" s="289"/>
      <c r="Q7" s="287"/>
      <c r="R7" s="287"/>
      <c r="S7" s="287"/>
      <c r="T7" s="287"/>
      <c r="U7" s="287"/>
      <c r="V7" s="287"/>
      <c r="W7" s="287"/>
      <c r="X7" s="290"/>
      <c r="Y7" s="92" t="s">
        <v>125</v>
      </c>
      <c r="Z7" s="92" t="s">
        <v>126</v>
      </c>
      <c r="AA7" s="287"/>
      <c r="AB7" s="287"/>
      <c r="AC7" s="287"/>
      <c r="AD7" s="287"/>
      <c r="AE7" s="287"/>
      <c r="AF7" s="287"/>
      <c r="AG7" s="290"/>
      <c r="AH7" s="287"/>
    </row>
    <row r="8" spans="1:34" ht="30.65" customHeight="1" thickTop="1">
      <c r="A8" s="93">
        <v>1</v>
      </c>
      <c r="B8" s="94" t="s">
        <v>127</v>
      </c>
      <c r="C8" s="95" t="s">
        <v>128</v>
      </c>
      <c r="D8" s="96">
        <v>41456</v>
      </c>
      <c r="E8" s="97">
        <f t="shared" ref="E8:E43" ca="1" si="0">TODAY()</f>
        <v>46244</v>
      </c>
      <c r="F8" s="97" t="str">
        <f ca="1">DATEDIF(D8,E8,"y")&amp;" "&amp;"Tahun"&amp;" "&amp;DATEDIF(D8,E8,"ym")&amp;" "&amp;"Bulan"&amp;" "&amp;DATEDIF(D8,E8,"md")&amp;" "&amp;"Hari"</f>
        <v>13 Tahun 1 Bulan 9 Hari</v>
      </c>
      <c r="G8" s="95" t="s">
        <v>129</v>
      </c>
      <c r="H8" s="95"/>
      <c r="I8" s="95"/>
      <c r="J8" s="95" t="s">
        <v>130</v>
      </c>
      <c r="K8" s="98" t="s">
        <v>131</v>
      </c>
      <c r="L8" s="95" t="s">
        <v>132</v>
      </c>
      <c r="M8" s="96">
        <v>29099</v>
      </c>
      <c r="N8" s="97" t="str">
        <f ca="1">DATEDIF(M8,E8,"y")&amp;" "&amp;"Tahun"&amp;" "&amp;DATEDIF(M8,E8,"ym")&amp;" "&amp;"Bulan"&amp;" "&amp;DATEDIF(M8,E8,"md")&amp;" "&amp;"Hari"</f>
        <v>46 Tahun 11 Bulan 9 Hari</v>
      </c>
      <c r="O8" s="99"/>
      <c r="P8" s="95">
        <v>0</v>
      </c>
      <c r="Q8" s="95"/>
      <c r="R8" s="100" t="s">
        <v>133</v>
      </c>
      <c r="S8" s="95" t="s">
        <v>134</v>
      </c>
      <c r="T8" s="101" t="s">
        <v>135</v>
      </c>
      <c r="U8" s="101" t="s">
        <v>136</v>
      </c>
      <c r="V8" s="95" t="s">
        <v>137</v>
      </c>
      <c r="W8" s="95">
        <v>0</v>
      </c>
      <c r="X8" s="95">
        <v>7</v>
      </c>
      <c r="Y8" s="95"/>
      <c r="Z8" s="95"/>
      <c r="AA8" s="95"/>
      <c r="AB8" s="95">
        <v>0</v>
      </c>
      <c r="AC8" s="95">
        <v>0</v>
      </c>
      <c r="AD8" s="95">
        <v>0</v>
      </c>
      <c r="AE8" s="95">
        <v>0</v>
      </c>
      <c r="AF8" s="95">
        <v>0</v>
      </c>
      <c r="AG8" s="95">
        <v>0</v>
      </c>
      <c r="AH8" s="102"/>
    </row>
    <row r="9" spans="1:34" ht="30.65" customHeight="1">
      <c r="A9" s="103">
        <v>2</v>
      </c>
      <c r="B9" s="94" t="s">
        <v>138</v>
      </c>
      <c r="C9" s="95" t="s">
        <v>128</v>
      </c>
      <c r="D9" s="96">
        <v>42552</v>
      </c>
      <c r="E9" s="97">
        <f t="shared" ca="1" si="0"/>
        <v>46244</v>
      </c>
      <c r="F9" s="97" t="str">
        <f t="shared" ref="F9:F43" ca="1" si="1">DATEDIF(D9,E9,"y")&amp;" "&amp;"Tahun"&amp;" "&amp;DATEDIF(D9,E9,"ym")&amp;" "&amp;"Bulan"&amp;" "&amp;DATEDIF(D9,E9,"md")&amp;" "&amp;"Hari"</f>
        <v>10 Tahun 1 Bulan 9 Hari</v>
      </c>
      <c r="G9" s="95" t="s">
        <v>129</v>
      </c>
      <c r="H9" s="95"/>
      <c r="I9" s="95"/>
      <c r="J9" s="95" t="s">
        <v>130</v>
      </c>
      <c r="K9" s="98" t="s">
        <v>139</v>
      </c>
      <c r="L9" s="95" t="s">
        <v>140</v>
      </c>
      <c r="M9" s="104">
        <v>34315</v>
      </c>
      <c r="N9" s="97" t="str">
        <f ca="1">DATEDIF(M9,E9,"y")&amp;" "&amp;"Tahun"&amp;" "&amp;DATEDIF(M9,E9,"ym")&amp;" "&amp;"Bulan"&amp;" "&amp;DATEDIF(M9,E9,"md")&amp;" "&amp;"Hari"</f>
        <v>32 Tahun 7 Bulan 29 Hari</v>
      </c>
      <c r="O9" s="99"/>
      <c r="P9" s="95">
        <v>0</v>
      </c>
      <c r="Q9" s="95"/>
      <c r="R9" s="100" t="s">
        <v>133</v>
      </c>
      <c r="S9" s="95"/>
      <c r="T9" s="101" t="s">
        <v>135</v>
      </c>
      <c r="U9" s="101" t="s">
        <v>141</v>
      </c>
      <c r="V9" s="95">
        <v>0</v>
      </c>
      <c r="W9" s="95">
        <v>0</v>
      </c>
      <c r="X9" s="95">
        <v>2</v>
      </c>
      <c r="Y9" s="95"/>
      <c r="Z9" s="95">
        <v>0</v>
      </c>
      <c r="AA9" s="95"/>
      <c r="AB9" s="95">
        <v>0</v>
      </c>
      <c r="AC9" s="95">
        <v>0</v>
      </c>
      <c r="AD9" s="95">
        <v>0</v>
      </c>
      <c r="AE9" s="95">
        <v>0</v>
      </c>
      <c r="AF9" s="95">
        <v>0</v>
      </c>
      <c r="AG9" s="95">
        <v>0</v>
      </c>
      <c r="AH9" s="102"/>
    </row>
    <row r="10" spans="1:34" ht="30.65" customHeight="1">
      <c r="A10" s="93">
        <v>3</v>
      </c>
      <c r="B10" s="94" t="s">
        <v>142</v>
      </c>
      <c r="C10" s="95" t="s">
        <v>128</v>
      </c>
      <c r="D10" s="96">
        <v>42736</v>
      </c>
      <c r="E10" s="97">
        <f t="shared" ca="1" si="0"/>
        <v>46244</v>
      </c>
      <c r="F10" s="97" t="str">
        <f t="shared" ca="1" si="1"/>
        <v>9 Tahun 7 Bulan 9 Hari</v>
      </c>
      <c r="G10" s="95" t="s">
        <v>129</v>
      </c>
      <c r="H10" s="95"/>
      <c r="I10" s="95"/>
      <c r="J10" s="95" t="s">
        <v>130</v>
      </c>
      <c r="K10" s="98" t="s">
        <v>143</v>
      </c>
      <c r="L10" s="95" t="s">
        <v>144</v>
      </c>
      <c r="M10" s="104">
        <v>31613</v>
      </c>
      <c r="N10" s="97" t="str">
        <f t="shared" ref="N10:N43" ca="1" si="2">DATEDIF(M10,E10,"y")&amp;" "&amp;"Tahun"&amp;" "&amp;DATEDIF(M10,E10,"ym")&amp;" "&amp;"Bulan"&amp;" "&amp;DATEDIF(M10,E10,"md")&amp;" "&amp;"Hari"</f>
        <v>40 Tahun 0 Bulan 21 Hari</v>
      </c>
      <c r="O10" s="99"/>
      <c r="P10" s="95">
        <v>0</v>
      </c>
      <c r="Q10" s="95"/>
      <c r="R10" s="100" t="s">
        <v>133</v>
      </c>
      <c r="S10" s="95"/>
      <c r="T10" s="101" t="s">
        <v>145</v>
      </c>
      <c r="U10" s="101"/>
      <c r="V10" s="95">
        <v>0</v>
      </c>
      <c r="W10" s="95">
        <v>0</v>
      </c>
      <c r="X10" s="95">
        <v>0</v>
      </c>
      <c r="Y10" s="95"/>
      <c r="Z10" s="95">
        <v>0</v>
      </c>
      <c r="AA10" s="95"/>
      <c r="AB10" s="95">
        <v>0</v>
      </c>
      <c r="AC10" s="95">
        <v>0</v>
      </c>
      <c r="AD10" s="95">
        <v>0</v>
      </c>
      <c r="AE10" s="95">
        <v>0</v>
      </c>
      <c r="AF10" s="95">
        <v>0</v>
      </c>
      <c r="AG10" s="95">
        <v>0</v>
      </c>
      <c r="AH10" s="102"/>
    </row>
    <row r="11" spans="1:34" ht="30.65" customHeight="1">
      <c r="A11" s="103">
        <v>4</v>
      </c>
      <c r="B11" s="94" t="s">
        <v>146</v>
      </c>
      <c r="C11" s="95" t="s">
        <v>128</v>
      </c>
      <c r="D11" s="96">
        <v>42917</v>
      </c>
      <c r="E11" s="97">
        <f t="shared" ca="1" si="0"/>
        <v>46244</v>
      </c>
      <c r="F11" s="97" t="str">
        <f t="shared" ca="1" si="1"/>
        <v>9 Tahun 1 Bulan 9 Hari</v>
      </c>
      <c r="G11" s="95" t="s">
        <v>129</v>
      </c>
      <c r="H11" s="95"/>
      <c r="I11" s="95"/>
      <c r="J11" s="95" t="s">
        <v>130</v>
      </c>
      <c r="K11" s="98" t="s">
        <v>147</v>
      </c>
      <c r="L11" s="95" t="s">
        <v>148</v>
      </c>
      <c r="M11" s="104">
        <v>30557</v>
      </c>
      <c r="N11" s="97" t="str">
        <f t="shared" ca="1" si="2"/>
        <v>42 Tahun 11 Bulan 12 Hari</v>
      </c>
      <c r="O11" s="99"/>
      <c r="P11" s="95">
        <v>0</v>
      </c>
      <c r="Q11" s="95"/>
      <c r="R11" s="100" t="s">
        <v>133</v>
      </c>
      <c r="S11" s="95"/>
      <c r="T11" s="101" t="s">
        <v>135</v>
      </c>
      <c r="U11" s="101"/>
      <c r="V11" s="95">
        <v>0</v>
      </c>
      <c r="W11" s="95">
        <v>0</v>
      </c>
      <c r="X11" s="95">
        <v>2</v>
      </c>
      <c r="Y11" s="95"/>
      <c r="Z11" s="95">
        <v>0</v>
      </c>
      <c r="AA11" s="95"/>
      <c r="AB11" s="95">
        <v>0</v>
      </c>
      <c r="AC11" s="95">
        <v>0</v>
      </c>
      <c r="AD11" s="95">
        <v>0</v>
      </c>
      <c r="AE11" s="95">
        <v>0</v>
      </c>
      <c r="AF11" s="95">
        <v>0</v>
      </c>
      <c r="AG11" s="95">
        <v>0</v>
      </c>
      <c r="AH11" s="102"/>
    </row>
    <row r="12" spans="1:34" ht="30.65" customHeight="1">
      <c r="A12" s="93">
        <v>5</v>
      </c>
      <c r="B12" s="94" t="s">
        <v>149</v>
      </c>
      <c r="C12" s="95" t="s">
        <v>128</v>
      </c>
      <c r="D12" s="96">
        <v>42917</v>
      </c>
      <c r="E12" s="97">
        <f t="shared" ca="1" si="0"/>
        <v>46244</v>
      </c>
      <c r="F12" s="97" t="str">
        <f t="shared" ca="1" si="1"/>
        <v>9 Tahun 1 Bulan 9 Hari</v>
      </c>
      <c r="G12" s="95" t="s">
        <v>129</v>
      </c>
      <c r="H12" s="95"/>
      <c r="I12" s="95"/>
      <c r="J12" s="95" t="s">
        <v>130</v>
      </c>
      <c r="K12" s="98" t="s">
        <v>150</v>
      </c>
      <c r="L12" s="95" t="s">
        <v>151</v>
      </c>
      <c r="M12" s="104">
        <v>35279</v>
      </c>
      <c r="N12" s="97" t="str">
        <f t="shared" ca="1" si="2"/>
        <v>30 Tahun 0 Bulan 8 Hari</v>
      </c>
      <c r="O12" s="99"/>
      <c r="P12" s="95">
        <v>0</v>
      </c>
      <c r="Q12" s="95"/>
      <c r="R12" s="100" t="s">
        <v>133</v>
      </c>
      <c r="S12" s="95"/>
      <c r="T12" s="101" t="s">
        <v>135</v>
      </c>
      <c r="U12" s="101"/>
      <c r="V12" s="95">
        <v>0</v>
      </c>
      <c r="W12" s="95">
        <v>0</v>
      </c>
      <c r="X12" s="95">
        <v>2</v>
      </c>
      <c r="Y12" s="95"/>
      <c r="Z12" s="95">
        <v>0</v>
      </c>
      <c r="AA12" s="95"/>
      <c r="AB12" s="95">
        <v>0</v>
      </c>
      <c r="AC12" s="95">
        <v>0</v>
      </c>
      <c r="AD12" s="95">
        <v>0</v>
      </c>
      <c r="AE12" s="95">
        <v>0</v>
      </c>
      <c r="AF12" s="95">
        <v>0</v>
      </c>
      <c r="AG12" s="95">
        <v>0</v>
      </c>
      <c r="AH12" s="105"/>
    </row>
    <row r="13" spans="1:34" ht="30.65" customHeight="1">
      <c r="A13" s="103">
        <v>6</v>
      </c>
      <c r="B13" s="94" t="s">
        <v>152</v>
      </c>
      <c r="C13" s="95" t="s">
        <v>128</v>
      </c>
      <c r="D13" s="96">
        <v>42917</v>
      </c>
      <c r="E13" s="97">
        <f t="shared" ca="1" si="0"/>
        <v>46244</v>
      </c>
      <c r="F13" s="97" t="str">
        <f t="shared" ca="1" si="1"/>
        <v>9 Tahun 1 Bulan 9 Hari</v>
      </c>
      <c r="G13" s="95" t="s">
        <v>129</v>
      </c>
      <c r="H13" s="95"/>
      <c r="I13" s="95"/>
      <c r="J13" s="95" t="s">
        <v>130</v>
      </c>
      <c r="K13" s="98" t="s">
        <v>153</v>
      </c>
      <c r="L13" s="95" t="s">
        <v>154</v>
      </c>
      <c r="M13" s="104">
        <v>34698</v>
      </c>
      <c r="N13" s="97" t="str">
        <f t="shared" ca="1" si="2"/>
        <v>31 Tahun 7 Bulan 11 Hari</v>
      </c>
      <c r="O13" s="99"/>
      <c r="P13" s="95">
        <v>0</v>
      </c>
      <c r="Q13" s="95"/>
      <c r="R13" s="100" t="s">
        <v>155</v>
      </c>
      <c r="S13" s="95"/>
      <c r="T13" s="101" t="s">
        <v>135</v>
      </c>
      <c r="U13" s="101"/>
      <c r="V13" s="95">
        <v>0</v>
      </c>
      <c r="W13" s="95">
        <v>0</v>
      </c>
      <c r="X13" s="95">
        <v>3</v>
      </c>
      <c r="Y13" s="95"/>
      <c r="Z13" s="95">
        <v>0</v>
      </c>
      <c r="AA13" s="95"/>
      <c r="AB13" s="95">
        <v>0</v>
      </c>
      <c r="AC13" s="95">
        <v>0</v>
      </c>
      <c r="AD13" s="95">
        <v>0</v>
      </c>
      <c r="AE13" s="95">
        <v>0</v>
      </c>
      <c r="AF13" s="95">
        <v>0</v>
      </c>
      <c r="AG13" s="95">
        <v>0</v>
      </c>
      <c r="AH13" s="102"/>
    </row>
    <row r="14" spans="1:34" ht="30.65" customHeight="1">
      <c r="A14" s="93">
        <v>7</v>
      </c>
      <c r="B14" s="106" t="s">
        <v>156</v>
      </c>
      <c r="C14" s="95" t="s">
        <v>128</v>
      </c>
      <c r="D14" s="104">
        <v>42736</v>
      </c>
      <c r="E14" s="97">
        <f ca="1">TODAY()</f>
        <v>46244</v>
      </c>
      <c r="F14" s="97" t="str">
        <f t="shared" ca="1" si="1"/>
        <v>9 Tahun 7 Bulan 9 Hari</v>
      </c>
      <c r="G14" s="95" t="s">
        <v>129</v>
      </c>
      <c r="H14" s="95"/>
      <c r="I14" s="95"/>
      <c r="J14" s="95" t="s">
        <v>157</v>
      </c>
      <c r="K14" s="98" t="s">
        <v>158</v>
      </c>
      <c r="L14" s="95" t="s">
        <v>159</v>
      </c>
      <c r="M14" s="104">
        <v>33083</v>
      </c>
      <c r="N14" s="97" t="str">
        <f t="shared" ca="1" si="2"/>
        <v>36 Tahun 0 Bulan 12 Hari</v>
      </c>
      <c r="O14" s="99"/>
      <c r="P14" s="95">
        <v>0</v>
      </c>
      <c r="Q14" s="95"/>
      <c r="R14" s="100" t="s">
        <v>133</v>
      </c>
      <c r="S14" s="95"/>
      <c r="T14" s="101" t="s">
        <v>135</v>
      </c>
      <c r="U14" s="101"/>
      <c r="V14" s="95">
        <v>0</v>
      </c>
      <c r="W14" s="95">
        <v>0</v>
      </c>
      <c r="X14" s="95">
        <v>0</v>
      </c>
      <c r="Y14" s="95"/>
      <c r="Z14" s="95">
        <v>0</v>
      </c>
      <c r="AA14" s="95"/>
      <c r="AB14" s="95">
        <v>0</v>
      </c>
      <c r="AC14" s="95">
        <v>0</v>
      </c>
      <c r="AD14" s="95">
        <v>0</v>
      </c>
      <c r="AE14" s="95">
        <v>0</v>
      </c>
      <c r="AF14" s="95">
        <v>0</v>
      </c>
      <c r="AG14" s="95">
        <v>0</v>
      </c>
      <c r="AH14" s="102"/>
    </row>
    <row r="15" spans="1:34" ht="30.65" customHeight="1">
      <c r="A15" s="103">
        <v>8</v>
      </c>
      <c r="B15" s="106" t="s">
        <v>160</v>
      </c>
      <c r="C15" s="95" t="s">
        <v>128</v>
      </c>
      <c r="D15" s="104">
        <v>43132</v>
      </c>
      <c r="E15" s="97">
        <f t="shared" ca="1" si="0"/>
        <v>46244</v>
      </c>
      <c r="F15" s="97" t="str">
        <f t="shared" ca="1" si="1"/>
        <v>8 Tahun 6 Bulan 9 Hari</v>
      </c>
      <c r="G15" s="95" t="s">
        <v>129</v>
      </c>
      <c r="H15" s="95"/>
      <c r="I15" s="95"/>
      <c r="J15" s="95" t="s">
        <v>161</v>
      </c>
      <c r="K15" s="98" t="s">
        <v>162</v>
      </c>
      <c r="L15" s="95" t="s">
        <v>163</v>
      </c>
      <c r="M15" s="104">
        <v>31341</v>
      </c>
      <c r="N15" s="97" t="str">
        <f t="shared" ca="1" si="2"/>
        <v>40 Tahun 9 Bulan 20 Hari</v>
      </c>
      <c r="O15" s="99"/>
      <c r="P15" s="95">
        <v>0</v>
      </c>
      <c r="Q15" s="95"/>
      <c r="R15" s="100" t="s">
        <v>133</v>
      </c>
      <c r="S15" s="95"/>
      <c r="T15" s="101" t="s">
        <v>135</v>
      </c>
      <c r="U15" s="101"/>
      <c r="V15" s="95">
        <v>0</v>
      </c>
      <c r="W15" s="95">
        <v>0</v>
      </c>
      <c r="X15" s="95">
        <v>0</v>
      </c>
      <c r="Y15" s="95"/>
      <c r="Z15" s="95">
        <v>0</v>
      </c>
      <c r="AA15" s="95"/>
      <c r="AB15" s="95">
        <v>0</v>
      </c>
      <c r="AC15" s="95">
        <v>0</v>
      </c>
      <c r="AD15" s="95">
        <v>0</v>
      </c>
      <c r="AE15" s="95">
        <v>0</v>
      </c>
      <c r="AF15" s="95">
        <v>0</v>
      </c>
      <c r="AG15" s="95">
        <v>0</v>
      </c>
      <c r="AH15" s="102"/>
    </row>
    <row r="16" spans="1:34" ht="30.65" customHeight="1">
      <c r="A16" s="93">
        <v>9</v>
      </c>
      <c r="B16" s="106" t="s">
        <v>164</v>
      </c>
      <c r="C16" s="95" t="s">
        <v>128</v>
      </c>
      <c r="D16" s="104">
        <v>43160</v>
      </c>
      <c r="E16" s="97">
        <f t="shared" ca="1" si="0"/>
        <v>46244</v>
      </c>
      <c r="F16" s="97" t="str">
        <f t="shared" ca="1" si="1"/>
        <v>8 Tahun 5 Bulan 9 Hari</v>
      </c>
      <c r="G16" s="95" t="s">
        <v>129</v>
      </c>
      <c r="H16" s="95"/>
      <c r="I16" s="95"/>
      <c r="J16" s="95" t="s">
        <v>161</v>
      </c>
      <c r="K16" s="98" t="s">
        <v>165</v>
      </c>
      <c r="L16" s="95" t="s">
        <v>166</v>
      </c>
      <c r="M16" s="104">
        <v>33123</v>
      </c>
      <c r="N16" s="97" t="str">
        <f t="shared" ca="1" si="2"/>
        <v>35 Tahun 11 Bulan 3 Hari</v>
      </c>
      <c r="O16" s="99"/>
      <c r="P16" s="95">
        <v>0</v>
      </c>
      <c r="Q16" s="95"/>
      <c r="R16" s="100" t="s">
        <v>133</v>
      </c>
      <c r="S16" s="95"/>
      <c r="T16" s="101" t="s">
        <v>135</v>
      </c>
      <c r="U16" s="101"/>
      <c r="V16" s="95">
        <v>0</v>
      </c>
      <c r="W16" s="95">
        <v>0</v>
      </c>
      <c r="X16" s="95">
        <v>3</v>
      </c>
      <c r="Y16" s="95"/>
      <c r="Z16" s="95">
        <v>0</v>
      </c>
      <c r="AA16" s="95"/>
      <c r="AB16" s="95">
        <v>0</v>
      </c>
      <c r="AC16" s="95">
        <v>0</v>
      </c>
      <c r="AD16" s="95">
        <v>0</v>
      </c>
      <c r="AE16" s="95">
        <v>0</v>
      </c>
      <c r="AF16" s="95">
        <v>0</v>
      </c>
      <c r="AG16" s="95">
        <v>0</v>
      </c>
      <c r="AH16" s="102"/>
    </row>
    <row r="17" spans="1:34" ht="30.65" customHeight="1">
      <c r="A17" s="103">
        <v>10</v>
      </c>
      <c r="B17" s="106" t="s">
        <v>167</v>
      </c>
      <c r="C17" s="95" t="s">
        <v>128</v>
      </c>
      <c r="D17" s="104">
        <v>43282</v>
      </c>
      <c r="E17" s="97">
        <f t="shared" ca="1" si="0"/>
        <v>46244</v>
      </c>
      <c r="F17" s="97" t="str">
        <f t="shared" ca="1" si="1"/>
        <v>8 Tahun 1 Bulan 9 Hari</v>
      </c>
      <c r="G17" s="95" t="s">
        <v>129</v>
      </c>
      <c r="H17" s="95"/>
      <c r="I17" s="95"/>
      <c r="J17" s="95" t="s">
        <v>130</v>
      </c>
      <c r="K17" s="98" t="s">
        <v>168</v>
      </c>
      <c r="L17" s="95" t="s">
        <v>154</v>
      </c>
      <c r="M17" s="104">
        <v>34844</v>
      </c>
      <c r="N17" s="97" t="str">
        <f t="shared" ca="1" si="2"/>
        <v>31 Tahun 2 Bulan 16 Hari</v>
      </c>
      <c r="O17" s="99"/>
      <c r="P17" s="95">
        <v>0</v>
      </c>
      <c r="Q17" s="95"/>
      <c r="R17" s="100" t="s">
        <v>133</v>
      </c>
      <c r="S17" s="95"/>
      <c r="T17" s="101" t="s">
        <v>145</v>
      </c>
      <c r="U17" s="101"/>
      <c r="V17" s="95">
        <v>0</v>
      </c>
      <c r="W17" s="95">
        <v>0</v>
      </c>
      <c r="X17" s="95">
        <v>0</v>
      </c>
      <c r="Y17" s="95"/>
      <c r="Z17" s="95">
        <v>0</v>
      </c>
      <c r="AA17" s="95"/>
      <c r="AB17" s="95">
        <v>0</v>
      </c>
      <c r="AC17" s="95">
        <v>0</v>
      </c>
      <c r="AD17" s="95">
        <v>0</v>
      </c>
      <c r="AE17" s="95">
        <v>0</v>
      </c>
      <c r="AF17" s="95">
        <v>0</v>
      </c>
      <c r="AG17" s="95">
        <v>0</v>
      </c>
      <c r="AH17" s="102"/>
    </row>
    <row r="18" spans="1:34" ht="30.65" customHeight="1">
      <c r="A18" s="93">
        <v>11</v>
      </c>
      <c r="B18" s="106" t="s">
        <v>169</v>
      </c>
      <c r="C18" s="95" t="s">
        <v>128</v>
      </c>
      <c r="D18" s="104">
        <v>43101</v>
      </c>
      <c r="E18" s="97">
        <f t="shared" ca="1" si="0"/>
        <v>46244</v>
      </c>
      <c r="F18" s="97" t="str">
        <f t="shared" ca="1" si="1"/>
        <v>8 Tahun 7 Bulan 9 Hari</v>
      </c>
      <c r="G18" s="95" t="s">
        <v>129</v>
      </c>
      <c r="H18" s="95"/>
      <c r="I18" s="95"/>
      <c r="J18" s="95" t="s">
        <v>130</v>
      </c>
      <c r="K18" s="98" t="s">
        <v>170</v>
      </c>
      <c r="L18" s="95" t="s">
        <v>171</v>
      </c>
      <c r="M18" s="104">
        <v>35152</v>
      </c>
      <c r="N18" s="97" t="str">
        <f t="shared" ca="1" si="2"/>
        <v>30 Tahun 4 Bulan 13 Hari</v>
      </c>
      <c r="O18" s="99"/>
      <c r="P18" s="95">
        <v>0</v>
      </c>
      <c r="Q18" s="95"/>
      <c r="R18" s="100" t="s">
        <v>133</v>
      </c>
      <c r="S18" s="95"/>
      <c r="T18" s="101" t="s">
        <v>135</v>
      </c>
      <c r="U18" s="101"/>
      <c r="V18" s="95">
        <v>0</v>
      </c>
      <c r="W18" s="95">
        <v>0</v>
      </c>
      <c r="X18" s="95">
        <v>2</v>
      </c>
      <c r="Y18" s="95"/>
      <c r="Z18" s="95">
        <v>0</v>
      </c>
      <c r="AA18" s="95"/>
      <c r="AB18" s="95">
        <v>0</v>
      </c>
      <c r="AC18" s="95">
        <v>0</v>
      </c>
      <c r="AD18" s="95">
        <v>0</v>
      </c>
      <c r="AE18" s="95">
        <v>0</v>
      </c>
      <c r="AF18" s="95">
        <v>0</v>
      </c>
      <c r="AG18" s="95">
        <v>0</v>
      </c>
      <c r="AH18" s="102"/>
    </row>
    <row r="19" spans="1:34" ht="30.65" customHeight="1">
      <c r="A19" s="103">
        <v>12</v>
      </c>
      <c r="B19" s="106" t="s">
        <v>172</v>
      </c>
      <c r="C19" s="95" t="s">
        <v>128</v>
      </c>
      <c r="D19" s="104">
        <v>43374</v>
      </c>
      <c r="E19" s="97">
        <f t="shared" ca="1" si="0"/>
        <v>46244</v>
      </c>
      <c r="F19" s="97" t="str">
        <f t="shared" ca="1" si="1"/>
        <v>7 Tahun 10 Bulan 9 Hari</v>
      </c>
      <c r="G19" s="95" t="s">
        <v>129</v>
      </c>
      <c r="H19" s="95"/>
      <c r="I19" s="95"/>
      <c r="J19" s="95" t="s">
        <v>173</v>
      </c>
      <c r="K19" s="98" t="s">
        <v>174</v>
      </c>
      <c r="L19" s="95" t="s">
        <v>175</v>
      </c>
      <c r="M19" s="104">
        <v>29560</v>
      </c>
      <c r="N19" s="97" t="str">
        <f t="shared" ca="1" si="2"/>
        <v>45 Tahun 8 Bulan 5 Hari</v>
      </c>
      <c r="O19" s="99"/>
      <c r="P19" s="95">
        <v>0</v>
      </c>
      <c r="Q19" s="95"/>
      <c r="R19" s="100" t="s">
        <v>133</v>
      </c>
      <c r="S19" s="95"/>
      <c r="T19" s="101" t="s">
        <v>145</v>
      </c>
      <c r="U19" s="101"/>
      <c r="V19" s="95">
        <v>0</v>
      </c>
      <c r="W19" s="95">
        <v>0</v>
      </c>
      <c r="X19" s="95">
        <v>0</v>
      </c>
      <c r="Y19" s="95"/>
      <c r="Z19" s="95">
        <v>0</v>
      </c>
      <c r="AA19" s="95"/>
      <c r="AB19" s="95">
        <v>0</v>
      </c>
      <c r="AC19" s="95">
        <v>0</v>
      </c>
      <c r="AD19" s="95">
        <v>0</v>
      </c>
      <c r="AE19" s="95">
        <v>0</v>
      </c>
      <c r="AF19" s="95">
        <v>0</v>
      </c>
      <c r="AG19" s="95">
        <v>0</v>
      </c>
      <c r="AH19" s="102"/>
    </row>
    <row r="20" spans="1:34" ht="30.65" customHeight="1">
      <c r="A20" s="93">
        <v>13</v>
      </c>
      <c r="B20" s="106" t="s">
        <v>176</v>
      </c>
      <c r="C20" s="95" t="s">
        <v>128</v>
      </c>
      <c r="D20" s="104">
        <v>43466</v>
      </c>
      <c r="E20" s="97">
        <f t="shared" ca="1" si="0"/>
        <v>46244</v>
      </c>
      <c r="F20" s="97" t="str">
        <f t="shared" ca="1" si="1"/>
        <v>7 Tahun 7 Bulan 9 Hari</v>
      </c>
      <c r="G20" s="95" t="s">
        <v>129</v>
      </c>
      <c r="H20" s="95"/>
      <c r="I20" s="95"/>
      <c r="J20" s="95" t="s">
        <v>177</v>
      </c>
      <c r="K20" s="98" t="s">
        <v>178</v>
      </c>
      <c r="L20" s="95" t="s">
        <v>179</v>
      </c>
      <c r="M20" s="104">
        <v>32795</v>
      </c>
      <c r="N20" s="97" t="str">
        <f t="shared" ca="1" si="2"/>
        <v>36 Tahun 9 Bulan 27 Hari</v>
      </c>
      <c r="O20" s="99"/>
      <c r="P20" s="95">
        <v>0</v>
      </c>
      <c r="Q20" s="95"/>
      <c r="R20" s="100" t="s">
        <v>133</v>
      </c>
      <c r="S20" s="95"/>
      <c r="T20" s="101" t="s">
        <v>135</v>
      </c>
      <c r="U20" s="101"/>
      <c r="V20" s="95">
        <v>0</v>
      </c>
      <c r="W20" s="95">
        <v>0</v>
      </c>
      <c r="X20" s="95">
        <v>3</v>
      </c>
      <c r="Y20" s="95"/>
      <c r="Z20" s="95">
        <v>0</v>
      </c>
      <c r="AA20" s="95">
        <v>0</v>
      </c>
      <c r="AB20" s="95">
        <v>0</v>
      </c>
      <c r="AC20" s="95">
        <v>0</v>
      </c>
      <c r="AD20" s="95">
        <v>0</v>
      </c>
      <c r="AE20" s="95">
        <v>0</v>
      </c>
      <c r="AF20" s="95">
        <v>0</v>
      </c>
      <c r="AG20" s="95">
        <v>0</v>
      </c>
      <c r="AH20" s="102"/>
    </row>
    <row r="21" spans="1:34" ht="30.65" customHeight="1">
      <c r="A21" s="103">
        <v>14</v>
      </c>
      <c r="B21" s="106" t="s">
        <v>180</v>
      </c>
      <c r="C21" s="95" t="s">
        <v>128</v>
      </c>
      <c r="D21" s="104">
        <v>43647</v>
      </c>
      <c r="E21" s="97">
        <f t="shared" ca="1" si="0"/>
        <v>46244</v>
      </c>
      <c r="F21" s="97" t="str">
        <f t="shared" ca="1" si="1"/>
        <v>7 Tahun 1 Bulan 9 Hari</v>
      </c>
      <c r="G21" s="95" t="s">
        <v>129</v>
      </c>
      <c r="H21" s="95"/>
      <c r="I21" s="95"/>
      <c r="J21" s="95" t="s">
        <v>130</v>
      </c>
      <c r="K21" s="98" t="s">
        <v>181</v>
      </c>
      <c r="L21" s="95" t="s">
        <v>182</v>
      </c>
      <c r="M21" s="104">
        <v>31232</v>
      </c>
      <c r="N21" s="97" t="str">
        <f t="shared" ca="1" si="2"/>
        <v>41 Tahun 1 Bulan 6 Hari</v>
      </c>
      <c r="O21" s="99"/>
      <c r="P21" s="95">
        <v>0</v>
      </c>
      <c r="Q21" s="95"/>
      <c r="R21" s="100" t="s">
        <v>133</v>
      </c>
      <c r="S21" s="95"/>
      <c r="T21" s="101" t="s">
        <v>135</v>
      </c>
      <c r="U21" s="101"/>
      <c r="V21" s="95">
        <v>0</v>
      </c>
      <c r="W21" s="95">
        <v>0</v>
      </c>
      <c r="X21" s="95">
        <v>4</v>
      </c>
      <c r="Y21" s="95"/>
      <c r="Z21" s="95">
        <v>0</v>
      </c>
      <c r="AA21" s="95">
        <v>0</v>
      </c>
      <c r="AB21" s="95">
        <v>0</v>
      </c>
      <c r="AC21" s="95">
        <v>0</v>
      </c>
      <c r="AD21" s="95">
        <v>0</v>
      </c>
      <c r="AE21" s="95">
        <v>0</v>
      </c>
      <c r="AF21" s="95">
        <v>0</v>
      </c>
      <c r="AG21" s="95">
        <v>0</v>
      </c>
      <c r="AH21" s="102"/>
    </row>
    <row r="22" spans="1:34" ht="30.65" customHeight="1">
      <c r="A22" s="93">
        <v>15</v>
      </c>
      <c r="B22" s="106" t="s">
        <v>183</v>
      </c>
      <c r="C22" s="95" t="s">
        <v>128</v>
      </c>
      <c r="D22" s="104">
        <v>43678</v>
      </c>
      <c r="E22" s="97">
        <f t="shared" ca="1" si="0"/>
        <v>46244</v>
      </c>
      <c r="F22" s="97" t="str">
        <f t="shared" ca="1" si="1"/>
        <v>7 Tahun 0 Bulan 9 Hari</v>
      </c>
      <c r="G22" s="95" t="s">
        <v>129</v>
      </c>
      <c r="H22" s="95"/>
      <c r="I22" s="95"/>
      <c r="J22" s="95" t="s">
        <v>184</v>
      </c>
      <c r="K22" s="98" t="s">
        <v>185</v>
      </c>
      <c r="L22" s="95" t="s">
        <v>186</v>
      </c>
      <c r="M22" s="104">
        <v>34781</v>
      </c>
      <c r="N22" s="97" t="str">
        <f t="shared" ca="1" si="2"/>
        <v>31 Tahun 4 Bulan 18 Hari</v>
      </c>
      <c r="O22" s="99"/>
      <c r="P22" s="95">
        <v>0</v>
      </c>
      <c r="Q22" s="95"/>
      <c r="R22" s="100" t="s">
        <v>133</v>
      </c>
      <c r="S22" s="95"/>
      <c r="T22" s="101" t="s">
        <v>145</v>
      </c>
      <c r="U22" s="101"/>
      <c r="V22" s="95">
        <v>0</v>
      </c>
      <c r="W22" s="95">
        <v>0</v>
      </c>
      <c r="X22" s="95">
        <v>0</v>
      </c>
      <c r="Y22" s="95"/>
      <c r="Z22" s="95">
        <v>0</v>
      </c>
      <c r="AA22" s="95" t="s">
        <v>187</v>
      </c>
      <c r="AB22" s="95">
        <v>0</v>
      </c>
      <c r="AC22" s="95">
        <v>0</v>
      </c>
      <c r="AD22" s="95">
        <v>0</v>
      </c>
      <c r="AE22" s="95">
        <v>0</v>
      </c>
      <c r="AF22" s="95">
        <v>0</v>
      </c>
      <c r="AG22" s="95">
        <v>0</v>
      </c>
      <c r="AH22" s="102"/>
    </row>
    <row r="23" spans="1:34" ht="30.65" customHeight="1">
      <c r="A23" s="103">
        <v>16</v>
      </c>
      <c r="B23" s="106" t="s">
        <v>188</v>
      </c>
      <c r="C23" s="95" t="s">
        <v>128</v>
      </c>
      <c r="D23" s="104">
        <v>43647</v>
      </c>
      <c r="E23" s="97">
        <f t="shared" ca="1" si="0"/>
        <v>46244</v>
      </c>
      <c r="F23" s="97" t="str">
        <f t="shared" ca="1" si="1"/>
        <v>7 Tahun 1 Bulan 9 Hari</v>
      </c>
      <c r="G23" s="95" t="s">
        <v>129</v>
      </c>
      <c r="H23" s="95"/>
      <c r="I23" s="95"/>
      <c r="J23" s="95" t="s">
        <v>184</v>
      </c>
      <c r="K23" s="98" t="s">
        <v>189</v>
      </c>
      <c r="L23" s="95" t="s">
        <v>190</v>
      </c>
      <c r="M23" s="104">
        <v>35049</v>
      </c>
      <c r="N23" s="97" t="str">
        <f t="shared" ca="1" si="2"/>
        <v>30 Tahun 7 Bulan 25 Hari</v>
      </c>
      <c r="O23" s="99"/>
      <c r="P23" s="95">
        <v>0</v>
      </c>
      <c r="Q23" s="95"/>
      <c r="R23" s="100" t="s">
        <v>133</v>
      </c>
      <c r="S23" s="95"/>
      <c r="T23" s="101" t="s">
        <v>145</v>
      </c>
      <c r="U23" s="101"/>
      <c r="V23" s="95">
        <v>0</v>
      </c>
      <c r="W23" s="95">
        <v>0</v>
      </c>
      <c r="X23" s="95">
        <v>0</v>
      </c>
      <c r="Y23" s="95"/>
      <c r="Z23" s="95" t="s">
        <v>191</v>
      </c>
      <c r="AA23" s="95" t="s">
        <v>192</v>
      </c>
      <c r="AB23" s="95">
        <v>0</v>
      </c>
      <c r="AC23" s="95">
        <v>0</v>
      </c>
      <c r="AD23" s="95">
        <v>0</v>
      </c>
      <c r="AE23" s="95">
        <v>0</v>
      </c>
      <c r="AF23" s="95">
        <v>0</v>
      </c>
      <c r="AG23" s="95">
        <v>0</v>
      </c>
      <c r="AH23" s="102"/>
    </row>
    <row r="24" spans="1:34" ht="30.65" customHeight="1">
      <c r="A24" s="93">
        <v>17</v>
      </c>
      <c r="B24" s="106" t="s">
        <v>193</v>
      </c>
      <c r="C24" s="95" t="s">
        <v>128</v>
      </c>
      <c r="D24" s="104">
        <v>43678</v>
      </c>
      <c r="E24" s="97">
        <f t="shared" ca="1" si="0"/>
        <v>46244</v>
      </c>
      <c r="F24" s="97" t="str">
        <f t="shared" ca="1" si="1"/>
        <v>7 Tahun 0 Bulan 9 Hari</v>
      </c>
      <c r="G24" s="95" t="s">
        <v>129</v>
      </c>
      <c r="H24" s="95"/>
      <c r="I24" s="95"/>
      <c r="J24" s="95" t="s">
        <v>177</v>
      </c>
      <c r="K24" s="98" t="s">
        <v>194</v>
      </c>
      <c r="L24" s="95" t="s">
        <v>195</v>
      </c>
      <c r="M24" s="104">
        <v>34361</v>
      </c>
      <c r="N24" s="97" t="str">
        <f t="shared" ca="1" si="2"/>
        <v>32 Tahun 6 Bulan 14 Hari</v>
      </c>
      <c r="O24" s="99"/>
      <c r="P24" s="95">
        <v>0</v>
      </c>
      <c r="Q24" s="95"/>
      <c r="R24" s="100" t="s">
        <v>133</v>
      </c>
      <c r="S24" s="95"/>
      <c r="T24" s="101" t="s">
        <v>145</v>
      </c>
      <c r="U24" s="101"/>
      <c r="V24" s="95">
        <v>0</v>
      </c>
      <c r="W24" s="95">
        <v>0</v>
      </c>
      <c r="X24" s="95">
        <v>2</v>
      </c>
      <c r="Y24" s="95"/>
      <c r="Z24" s="95">
        <v>0</v>
      </c>
      <c r="AA24" s="95">
        <v>0</v>
      </c>
      <c r="AB24" s="95">
        <v>0</v>
      </c>
      <c r="AC24" s="95">
        <v>0</v>
      </c>
      <c r="AD24" s="95">
        <v>0</v>
      </c>
      <c r="AE24" s="95">
        <v>0</v>
      </c>
      <c r="AF24" s="95">
        <v>0</v>
      </c>
      <c r="AG24" s="95">
        <v>0</v>
      </c>
      <c r="AH24" s="102"/>
    </row>
    <row r="25" spans="1:34" ht="30.65" customHeight="1">
      <c r="A25" s="103">
        <v>18</v>
      </c>
      <c r="B25" s="106" t="s">
        <v>196</v>
      </c>
      <c r="C25" s="95" t="s">
        <v>128</v>
      </c>
      <c r="D25" s="104">
        <v>43647</v>
      </c>
      <c r="E25" s="97">
        <f t="shared" ca="1" si="0"/>
        <v>46244</v>
      </c>
      <c r="F25" s="97" t="str">
        <f t="shared" ca="1" si="1"/>
        <v>7 Tahun 1 Bulan 9 Hari</v>
      </c>
      <c r="G25" s="95" t="s">
        <v>129</v>
      </c>
      <c r="H25" s="95"/>
      <c r="I25" s="95"/>
      <c r="J25" s="95" t="s">
        <v>184</v>
      </c>
      <c r="K25" s="98" t="s">
        <v>197</v>
      </c>
      <c r="L25" s="95" t="s">
        <v>198</v>
      </c>
      <c r="M25" s="104">
        <v>36241</v>
      </c>
      <c r="N25" s="97" t="str">
        <f t="shared" ca="1" si="2"/>
        <v>27 Tahun 4 Bulan 19 Hari</v>
      </c>
      <c r="O25" s="99"/>
      <c r="P25" s="95">
        <v>0</v>
      </c>
      <c r="Q25" s="95"/>
      <c r="R25" s="100" t="s">
        <v>155</v>
      </c>
      <c r="S25" s="95"/>
      <c r="T25" s="101" t="s">
        <v>145</v>
      </c>
      <c r="U25" s="101"/>
      <c r="V25" s="95">
        <v>0</v>
      </c>
      <c r="W25" s="95">
        <v>0</v>
      </c>
      <c r="X25" s="95">
        <v>0</v>
      </c>
      <c r="Y25" s="95"/>
      <c r="Z25" s="95">
        <v>0</v>
      </c>
      <c r="AA25" s="95">
        <v>0</v>
      </c>
      <c r="AB25" s="95">
        <v>0</v>
      </c>
      <c r="AC25" s="95">
        <v>0</v>
      </c>
      <c r="AD25" s="95">
        <v>0</v>
      </c>
      <c r="AE25" s="95">
        <v>0</v>
      </c>
      <c r="AF25" s="95">
        <v>0</v>
      </c>
      <c r="AG25" s="95">
        <v>0</v>
      </c>
      <c r="AH25" s="102"/>
    </row>
    <row r="26" spans="1:34" ht="30.65" customHeight="1">
      <c r="A26" s="93">
        <v>19</v>
      </c>
      <c r="B26" s="106" t="s">
        <v>199</v>
      </c>
      <c r="C26" s="95" t="s">
        <v>128</v>
      </c>
      <c r="D26" s="104">
        <v>44013</v>
      </c>
      <c r="E26" s="97">
        <f t="shared" ca="1" si="0"/>
        <v>46244</v>
      </c>
      <c r="F26" s="97" t="str">
        <f t="shared" ca="1" si="1"/>
        <v>6 Tahun 1 Bulan 9 Hari</v>
      </c>
      <c r="G26" s="95" t="s">
        <v>129</v>
      </c>
      <c r="H26" s="95"/>
      <c r="I26" s="95"/>
      <c r="J26" s="95" t="s">
        <v>200</v>
      </c>
      <c r="K26" s="98" t="s">
        <v>201</v>
      </c>
      <c r="L26" s="95" t="s">
        <v>202</v>
      </c>
      <c r="M26" s="104">
        <v>34862</v>
      </c>
      <c r="N26" s="97" t="str">
        <f t="shared" ca="1" si="2"/>
        <v>31 Tahun 1 Bulan 29 Hari</v>
      </c>
      <c r="O26" s="99"/>
      <c r="P26" s="95">
        <v>0</v>
      </c>
      <c r="Q26" s="95"/>
      <c r="R26" s="100" t="s">
        <v>133</v>
      </c>
      <c r="S26" s="95"/>
      <c r="T26" s="101" t="s">
        <v>145</v>
      </c>
      <c r="U26" s="101"/>
      <c r="V26" s="95">
        <v>0</v>
      </c>
      <c r="W26" s="95">
        <v>0</v>
      </c>
      <c r="X26" s="95">
        <v>0</v>
      </c>
      <c r="Y26" s="95"/>
      <c r="Z26" s="95">
        <v>0</v>
      </c>
      <c r="AA26" s="95">
        <v>0</v>
      </c>
      <c r="AB26" s="95">
        <v>0</v>
      </c>
      <c r="AC26" s="95">
        <v>0</v>
      </c>
      <c r="AD26" s="95">
        <v>0</v>
      </c>
      <c r="AE26" s="95">
        <v>0</v>
      </c>
      <c r="AF26" s="95">
        <v>0</v>
      </c>
      <c r="AG26" s="95">
        <v>0</v>
      </c>
      <c r="AH26" s="102"/>
    </row>
    <row r="27" spans="1:34" ht="30.65" customHeight="1">
      <c r="A27" s="103">
        <v>20</v>
      </c>
      <c r="B27" s="106" t="s">
        <v>203</v>
      </c>
      <c r="C27" s="95" t="s">
        <v>128</v>
      </c>
      <c r="D27" s="104">
        <v>45839</v>
      </c>
      <c r="E27" s="97">
        <f t="shared" ca="1" si="0"/>
        <v>46244</v>
      </c>
      <c r="F27" s="97" t="str">
        <f t="shared" ca="1" si="1"/>
        <v>1 Tahun 1 Bulan 9 Hari</v>
      </c>
      <c r="G27" s="95" t="s">
        <v>204</v>
      </c>
      <c r="H27" s="95"/>
      <c r="I27" s="95"/>
      <c r="J27" s="95" t="s">
        <v>184</v>
      </c>
      <c r="K27" s="98" t="s">
        <v>205</v>
      </c>
      <c r="L27" s="95" t="s">
        <v>206</v>
      </c>
      <c r="M27" s="104">
        <v>35323</v>
      </c>
      <c r="N27" s="97" t="str">
        <f t="shared" ca="1" si="2"/>
        <v>29 Tahun 10 Bulan 26 Hari</v>
      </c>
      <c r="O27" s="99"/>
      <c r="P27" s="95">
        <v>0</v>
      </c>
      <c r="Q27" s="95"/>
      <c r="R27" s="100" t="s">
        <v>133</v>
      </c>
      <c r="S27" s="95"/>
      <c r="T27" s="101" t="s">
        <v>145</v>
      </c>
      <c r="U27" s="101"/>
      <c r="V27" s="95">
        <v>0</v>
      </c>
      <c r="W27" s="95">
        <v>0</v>
      </c>
      <c r="X27" s="95">
        <v>0</v>
      </c>
      <c r="Y27" s="95"/>
      <c r="Z27" s="95">
        <v>0</v>
      </c>
      <c r="AA27" s="95" t="s">
        <v>207</v>
      </c>
      <c r="AB27" s="95">
        <v>0</v>
      </c>
      <c r="AC27" s="95">
        <v>0</v>
      </c>
      <c r="AD27" s="95">
        <v>0</v>
      </c>
      <c r="AE27" s="95">
        <v>0</v>
      </c>
      <c r="AF27" s="95">
        <v>0</v>
      </c>
      <c r="AG27" s="95">
        <v>0</v>
      </c>
      <c r="AH27" s="102"/>
    </row>
    <row r="28" spans="1:34" ht="30.65" customHeight="1">
      <c r="A28" s="93">
        <v>21</v>
      </c>
      <c r="B28" s="106" t="s">
        <v>208</v>
      </c>
      <c r="C28" s="95" t="s">
        <v>128</v>
      </c>
      <c r="D28" s="104">
        <v>44743</v>
      </c>
      <c r="E28" s="97">
        <f t="shared" ca="1" si="0"/>
        <v>46244</v>
      </c>
      <c r="F28" s="97" t="str">
        <f t="shared" ca="1" si="1"/>
        <v>4 Tahun 1 Bulan 9 Hari</v>
      </c>
      <c r="G28" s="95" t="s">
        <v>129</v>
      </c>
      <c r="H28" s="95"/>
      <c r="I28" s="95"/>
      <c r="J28" s="95" t="s">
        <v>209</v>
      </c>
      <c r="K28" s="98" t="s">
        <v>210</v>
      </c>
      <c r="L28" s="95" t="s">
        <v>211</v>
      </c>
      <c r="M28" s="104">
        <v>36651</v>
      </c>
      <c r="N28" s="97" t="str">
        <f t="shared" ca="1" si="2"/>
        <v>26 Tahun 3 Bulan 5 Hari</v>
      </c>
      <c r="O28" s="99"/>
      <c r="P28" s="95">
        <v>0</v>
      </c>
      <c r="Q28" s="95"/>
      <c r="R28" s="100" t="s">
        <v>133</v>
      </c>
      <c r="S28" s="95"/>
      <c r="T28" s="101" t="s">
        <v>145</v>
      </c>
      <c r="U28" s="101"/>
      <c r="V28" s="95">
        <v>0</v>
      </c>
      <c r="W28" s="95">
        <v>0</v>
      </c>
      <c r="X28" s="95">
        <v>0</v>
      </c>
      <c r="Y28" s="95"/>
      <c r="Z28" s="95">
        <v>0</v>
      </c>
      <c r="AA28" s="95">
        <v>0</v>
      </c>
      <c r="AB28" s="95">
        <v>0</v>
      </c>
      <c r="AC28" s="95">
        <v>0</v>
      </c>
      <c r="AD28" s="95">
        <v>0</v>
      </c>
      <c r="AE28" s="95">
        <v>0</v>
      </c>
      <c r="AF28" s="95">
        <v>0</v>
      </c>
      <c r="AG28" s="95">
        <v>0</v>
      </c>
      <c r="AH28" s="102"/>
    </row>
    <row r="29" spans="1:34" ht="30.65" customHeight="1">
      <c r="A29" s="103">
        <v>22</v>
      </c>
      <c r="B29" s="106" t="s">
        <v>212</v>
      </c>
      <c r="C29" s="95" t="s">
        <v>128</v>
      </c>
      <c r="D29" s="104">
        <v>44378</v>
      </c>
      <c r="E29" s="97">
        <f t="shared" ca="1" si="0"/>
        <v>46244</v>
      </c>
      <c r="F29" s="97" t="str">
        <f t="shared" ca="1" si="1"/>
        <v>5 Tahun 1 Bulan 9 Hari</v>
      </c>
      <c r="G29" s="95" t="s">
        <v>129</v>
      </c>
      <c r="H29" s="95"/>
      <c r="I29" s="95"/>
      <c r="J29" s="95" t="s">
        <v>209</v>
      </c>
      <c r="K29" s="98" t="s">
        <v>213</v>
      </c>
      <c r="L29" s="95" t="s">
        <v>214</v>
      </c>
      <c r="M29" s="104">
        <v>35710</v>
      </c>
      <c r="N29" s="97" t="str">
        <f t="shared" ca="1" si="2"/>
        <v>28 Tahun 10 Bulan 3 Hari</v>
      </c>
      <c r="O29" s="99"/>
      <c r="P29" s="95">
        <v>0</v>
      </c>
      <c r="Q29" s="95"/>
      <c r="R29" s="100" t="s">
        <v>133</v>
      </c>
      <c r="S29" s="95"/>
      <c r="T29" s="101" t="s">
        <v>145</v>
      </c>
      <c r="U29" s="101"/>
      <c r="V29" s="95">
        <v>0</v>
      </c>
      <c r="W29" s="95">
        <v>0</v>
      </c>
      <c r="X29" s="95">
        <v>0</v>
      </c>
      <c r="Y29" s="95"/>
      <c r="Z29" s="95">
        <v>0</v>
      </c>
      <c r="AA29" s="95">
        <v>0</v>
      </c>
      <c r="AB29" s="95">
        <v>0</v>
      </c>
      <c r="AC29" s="95">
        <v>0</v>
      </c>
      <c r="AD29" s="95">
        <v>0</v>
      </c>
      <c r="AE29" s="95">
        <v>0</v>
      </c>
      <c r="AF29" s="95">
        <v>0</v>
      </c>
      <c r="AG29" s="95">
        <v>0</v>
      </c>
      <c r="AH29" s="102"/>
    </row>
    <row r="30" spans="1:34" ht="30.65" customHeight="1">
      <c r="A30" s="93">
        <v>23</v>
      </c>
      <c r="B30" s="106" t="s">
        <v>215</v>
      </c>
      <c r="C30" s="95" t="s">
        <v>128</v>
      </c>
      <c r="D30" s="104">
        <v>44378</v>
      </c>
      <c r="E30" s="97">
        <f t="shared" ca="1" si="0"/>
        <v>46244</v>
      </c>
      <c r="F30" s="97" t="str">
        <f t="shared" ca="1" si="1"/>
        <v>5 Tahun 1 Bulan 9 Hari</v>
      </c>
      <c r="G30" s="95" t="s">
        <v>129</v>
      </c>
      <c r="H30" s="95"/>
      <c r="I30" s="95"/>
      <c r="J30" s="95" t="s">
        <v>216</v>
      </c>
      <c r="K30" s="98" t="s">
        <v>217</v>
      </c>
      <c r="L30" s="95" t="s">
        <v>218</v>
      </c>
      <c r="M30" s="104">
        <v>36094</v>
      </c>
      <c r="N30" s="97" t="str">
        <f t="shared" ca="1" si="2"/>
        <v>27 Tahun 9 Bulan 15 Hari</v>
      </c>
      <c r="O30" s="99"/>
      <c r="P30" s="95">
        <v>0</v>
      </c>
      <c r="Q30" s="95"/>
      <c r="R30" s="100" t="s">
        <v>133</v>
      </c>
      <c r="S30" s="95"/>
      <c r="T30" s="101" t="s">
        <v>145</v>
      </c>
      <c r="U30" s="101"/>
      <c r="V30" s="95">
        <v>0</v>
      </c>
      <c r="W30" s="95">
        <v>0</v>
      </c>
      <c r="X30" s="95">
        <v>0</v>
      </c>
      <c r="Y30" s="95"/>
      <c r="Z30" s="95">
        <v>0</v>
      </c>
      <c r="AA30" s="95" t="s">
        <v>219</v>
      </c>
      <c r="AB30" s="95">
        <v>0</v>
      </c>
      <c r="AC30" s="95">
        <v>0</v>
      </c>
      <c r="AD30" s="95">
        <v>0</v>
      </c>
      <c r="AE30" s="95">
        <v>0</v>
      </c>
      <c r="AF30" s="95">
        <v>0</v>
      </c>
      <c r="AG30" s="95">
        <v>0</v>
      </c>
      <c r="AH30" s="102"/>
    </row>
    <row r="31" spans="1:34" ht="30.65" customHeight="1">
      <c r="A31" s="103">
        <v>24</v>
      </c>
      <c r="B31" s="106" t="s">
        <v>220</v>
      </c>
      <c r="C31" s="95" t="s">
        <v>128</v>
      </c>
      <c r="D31" s="104">
        <v>44927</v>
      </c>
      <c r="E31" s="97">
        <f t="shared" ca="1" si="0"/>
        <v>46244</v>
      </c>
      <c r="F31" s="97" t="str">
        <f t="shared" ca="1" si="1"/>
        <v>3 Tahun 7 Bulan 9 Hari</v>
      </c>
      <c r="G31" s="95" t="s">
        <v>129</v>
      </c>
      <c r="H31" s="95"/>
      <c r="I31" s="95"/>
      <c r="J31" s="95" t="s">
        <v>216</v>
      </c>
      <c r="K31" s="98" t="s">
        <v>221</v>
      </c>
      <c r="L31" s="95" t="s">
        <v>222</v>
      </c>
      <c r="M31" s="104">
        <v>36719</v>
      </c>
      <c r="N31" s="97" t="str">
        <f t="shared" ca="1" si="2"/>
        <v>26 Tahun 0 Bulan 29 Hari</v>
      </c>
      <c r="O31" s="99"/>
      <c r="P31" s="95">
        <v>0</v>
      </c>
      <c r="Q31" s="95"/>
      <c r="R31" s="100" t="s">
        <v>133</v>
      </c>
      <c r="S31" s="95"/>
      <c r="T31" s="101" t="s">
        <v>135</v>
      </c>
      <c r="U31" s="101"/>
      <c r="V31" s="95">
        <v>0</v>
      </c>
      <c r="W31" s="95">
        <v>0</v>
      </c>
      <c r="X31" s="95">
        <v>0</v>
      </c>
      <c r="Y31" s="95"/>
      <c r="Z31" s="95">
        <v>0</v>
      </c>
      <c r="AA31" s="95" t="s">
        <v>219</v>
      </c>
      <c r="AB31" s="95">
        <v>0</v>
      </c>
      <c r="AC31" s="95">
        <v>0</v>
      </c>
      <c r="AD31" s="95">
        <v>0</v>
      </c>
      <c r="AE31" s="95">
        <v>0</v>
      </c>
      <c r="AF31" s="95">
        <v>0</v>
      </c>
      <c r="AG31" s="95">
        <v>0</v>
      </c>
      <c r="AH31" s="102"/>
    </row>
    <row r="32" spans="1:34" ht="30.65" customHeight="1">
      <c r="A32" s="93">
        <v>25</v>
      </c>
      <c r="B32" s="106" t="s">
        <v>223</v>
      </c>
      <c r="C32" s="95" t="s">
        <v>128</v>
      </c>
      <c r="D32" s="104">
        <v>45474</v>
      </c>
      <c r="E32" s="97">
        <f t="shared" ca="1" si="0"/>
        <v>46244</v>
      </c>
      <c r="F32" s="97" t="str">
        <f t="shared" ca="1" si="1"/>
        <v>2 Tahun 1 Bulan 9 Hari</v>
      </c>
      <c r="G32" s="95" t="s">
        <v>204</v>
      </c>
      <c r="H32" s="95"/>
      <c r="I32" s="95"/>
      <c r="J32" s="95" t="s">
        <v>224</v>
      </c>
      <c r="K32" s="98" t="s">
        <v>225</v>
      </c>
      <c r="L32" s="95" t="s">
        <v>226</v>
      </c>
      <c r="M32" s="104">
        <v>38803</v>
      </c>
      <c r="N32" s="97" t="str">
        <f t="shared" ca="1" si="2"/>
        <v>20 Tahun 4 Bulan 14 Hari</v>
      </c>
      <c r="O32" s="99"/>
      <c r="P32" s="95">
        <v>0</v>
      </c>
      <c r="Q32" s="95"/>
      <c r="R32" s="100" t="s">
        <v>155</v>
      </c>
      <c r="S32" s="95"/>
      <c r="T32" s="101" t="s">
        <v>145</v>
      </c>
      <c r="U32" s="101"/>
      <c r="V32" s="95">
        <v>0</v>
      </c>
      <c r="W32" s="95">
        <v>0</v>
      </c>
      <c r="X32" s="95">
        <v>0</v>
      </c>
      <c r="Y32" s="95"/>
      <c r="Z32" s="95" t="s">
        <v>227</v>
      </c>
      <c r="AA32" s="95" t="s">
        <v>192</v>
      </c>
      <c r="AB32" s="95">
        <v>0</v>
      </c>
      <c r="AC32" s="95">
        <v>0</v>
      </c>
      <c r="AD32" s="95">
        <v>0</v>
      </c>
      <c r="AE32" s="95">
        <v>0</v>
      </c>
      <c r="AF32" s="95">
        <v>0</v>
      </c>
      <c r="AG32" s="95">
        <v>0</v>
      </c>
      <c r="AH32" s="102"/>
    </row>
    <row r="33" spans="1:34" ht="30.65" customHeight="1">
      <c r="A33" s="103">
        <v>26</v>
      </c>
      <c r="B33" s="106" t="s">
        <v>228</v>
      </c>
      <c r="C33" s="95" t="s">
        <v>128</v>
      </c>
      <c r="D33" s="104">
        <v>44562</v>
      </c>
      <c r="E33" s="97">
        <f t="shared" ca="1" si="0"/>
        <v>46244</v>
      </c>
      <c r="F33" s="97" t="str">
        <f t="shared" ca="1" si="1"/>
        <v>4 Tahun 7 Bulan 9 Hari</v>
      </c>
      <c r="G33" s="95" t="s">
        <v>129</v>
      </c>
      <c r="H33" s="95"/>
      <c r="I33" s="95"/>
      <c r="J33" s="95" t="s">
        <v>184</v>
      </c>
      <c r="K33" s="98" t="s">
        <v>229</v>
      </c>
      <c r="L33" s="95" t="s">
        <v>154</v>
      </c>
      <c r="M33" s="104">
        <v>36256</v>
      </c>
      <c r="N33" s="97" t="str">
        <f t="shared" ca="1" si="2"/>
        <v>27 Tahun 4 Bulan 4 Hari</v>
      </c>
      <c r="O33" s="99">
        <v>0</v>
      </c>
      <c r="P33" s="95">
        <v>0</v>
      </c>
      <c r="Q33" s="95"/>
      <c r="R33" s="100" t="s">
        <v>133</v>
      </c>
      <c r="S33" s="95"/>
      <c r="T33" s="101" t="s">
        <v>145</v>
      </c>
      <c r="U33" s="101"/>
      <c r="V33" s="95">
        <v>0</v>
      </c>
      <c r="W33" s="95">
        <v>0</v>
      </c>
      <c r="X33" s="95">
        <v>0</v>
      </c>
      <c r="Y33" s="95"/>
      <c r="Z33" s="95">
        <v>0</v>
      </c>
      <c r="AA33" s="95">
        <v>0</v>
      </c>
      <c r="AB33" s="95">
        <v>0</v>
      </c>
      <c r="AC33" s="95">
        <v>0</v>
      </c>
      <c r="AD33" s="95">
        <v>0</v>
      </c>
      <c r="AE33" s="95">
        <v>0</v>
      </c>
      <c r="AF33" s="95">
        <v>0</v>
      </c>
      <c r="AG33" s="95">
        <v>0</v>
      </c>
      <c r="AH33" s="102"/>
    </row>
    <row r="34" spans="1:34" ht="30.65" customHeight="1">
      <c r="A34" s="93">
        <v>27</v>
      </c>
      <c r="B34" s="106" t="s">
        <v>230</v>
      </c>
      <c r="C34" s="95" t="s">
        <v>128</v>
      </c>
      <c r="D34" s="104">
        <v>44501</v>
      </c>
      <c r="E34" s="97">
        <f t="shared" ca="1" si="0"/>
        <v>46244</v>
      </c>
      <c r="F34" s="97" t="str">
        <f t="shared" ca="1" si="1"/>
        <v>4 Tahun 9 Bulan 9 Hari</v>
      </c>
      <c r="G34" s="95" t="s">
        <v>129</v>
      </c>
      <c r="H34" s="95"/>
      <c r="I34" s="95"/>
      <c r="J34" s="95" t="s">
        <v>216</v>
      </c>
      <c r="K34" s="98" t="s">
        <v>231</v>
      </c>
      <c r="L34" s="95" t="s">
        <v>232</v>
      </c>
      <c r="M34" s="104">
        <v>35932</v>
      </c>
      <c r="N34" s="97" t="str">
        <f t="shared" ca="1" si="2"/>
        <v>28 Tahun 2 Bulan 24 Hari</v>
      </c>
      <c r="O34" s="99">
        <v>0</v>
      </c>
      <c r="P34" s="95">
        <v>0</v>
      </c>
      <c r="Q34" s="95"/>
      <c r="R34" s="100" t="s">
        <v>133</v>
      </c>
      <c r="S34" s="95"/>
      <c r="T34" s="101" t="s">
        <v>145</v>
      </c>
      <c r="U34" s="101"/>
      <c r="V34" s="95">
        <v>0</v>
      </c>
      <c r="W34" s="95">
        <v>0</v>
      </c>
      <c r="X34" s="95">
        <v>0</v>
      </c>
      <c r="Y34" s="95"/>
      <c r="Z34" s="95">
        <v>0</v>
      </c>
      <c r="AA34" s="95">
        <v>0</v>
      </c>
      <c r="AB34" s="95">
        <v>0</v>
      </c>
      <c r="AC34" s="95">
        <v>0</v>
      </c>
      <c r="AD34" s="95">
        <v>0</v>
      </c>
      <c r="AE34" s="95">
        <v>0</v>
      </c>
      <c r="AF34" s="95">
        <v>0</v>
      </c>
      <c r="AG34" s="95">
        <v>0</v>
      </c>
      <c r="AH34" s="102"/>
    </row>
    <row r="35" spans="1:34" ht="30.65" customHeight="1">
      <c r="A35" s="103">
        <v>28</v>
      </c>
      <c r="B35" s="106" t="s">
        <v>233</v>
      </c>
      <c r="C35" s="95" t="s">
        <v>128</v>
      </c>
      <c r="D35" s="104">
        <v>44593</v>
      </c>
      <c r="E35" s="97">
        <f t="shared" ca="1" si="0"/>
        <v>46244</v>
      </c>
      <c r="F35" s="97" t="str">
        <f t="shared" ca="1" si="1"/>
        <v>4 Tahun 6 Bulan 9 Hari</v>
      </c>
      <c r="G35" s="95" t="s">
        <v>129</v>
      </c>
      <c r="H35" s="95"/>
      <c r="I35" s="95"/>
      <c r="J35" s="95" t="s">
        <v>200</v>
      </c>
      <c r="K35" s="98" t="s">
        <v>234</v>
      </c>
      <c r="L35" s="95" t="s">
        <v>211</v>
      </c>
      <c r="M35" s="104">
        <v>36130</v>
      </c>
      <c r="N35" s="97" t="str">
        <f t="shared" ca="1" si="2"/>
        <v>27 Tahun 8 Bulan 9 Hari</v>
      </c>
      <c r="O35" s="99">
        <v>0</v>
      </c>
      <c r="P35" s="95">
        <v>0</v>
      </c>
      <c r="Q35" s="95"/>
      <c r="R35" s="100" t="s">
        <v>133</v>
      </c>
      <c r="S35" s="95"/>
      <c r="T35" s="101" t="s">
        <v>145</v>
      </c>
      <c r="U35" s="101"/>
      <c r="V35" s="95">
        <v>0</v>
      </c>
      <c r="W35" s="95">
        <v>0</v>
      </c>
      <c r="X35" s="95">
        <v>0</v>
      </c>
      <c r="Y35" s="95"/>
      <c r="Z35" s="95">
        <v>0</v>
      </c>
      <c r="AA35" s="95">
        <v>0</v>
      </c>
      <c r="AB35" s="95">
        <v>0</v>
      </c>
      <c r="AC35" s="95">
        <v>0</v>
      </c>
      <c r="AD35" s="95">
        <v>0</v>
      </c>
      <c r="AE35" s="95">
        <v>0</v>
      </c>
      <c r="AF35" s="95">
        <v>0</v>
      </c>
      <c r="AG35" s="95">
        <v>0</v>
      </c>
      <c r="AH35" s="102"/>
    </row>
    <row r="36" spans="1:34" ht="30.65" customHeight="1">
      <c r="A36" s="93">
        <v>29</v>
      </c>
      <c r="B36" s="106" t="s">
        <v>235</v>
      </c>
      <c r="C36" s="95" t="s">
        <v>128</v>
      </c>
      <c r="D36" s="104">
        <v>44805</v>
      </c>
      <c r="E36" s="97">
        <f t="shared" ca="1" si="0"/>
        <v>46244</v>
      </c>
      <c r="F36" s="97" t="str">
        <f t="shared" ca="1" si="1"/>
        <v>3 Tahun 11 Bulan 9 Hari</v>
      </c>
      <c r="G36" s="95" t="s">
        <v>129</v>
      </c>
      <c r="H36" s="95"/>
      <c r="I36" s="95"/>
      <c r="J36" s="95" t="s">
        <v>236</v>
      </c>
      <c r="K36" s="98" t="s">
        <v>237</v>
      </c>
      <c r="L36" s="95" t="s">
        <v>175</v>
      </c>
      <c r="M36" s="104">
        <v>36348</v>
      </c>
      <c r="N36" s="97" t="str">
        <f t="shared" ca="1" si="2"/>
        <v>27 Tahun 1 Bulan 3 Hari</v>
      </c>
      <c r="O36" s="99">
        <v>0</v>
      </c>
      <c r="P36" s="95">
        <v>0</v>
      </c>
      <c r="Q36" s="95"/>
      <c r="R36" s="100" t="s">
        <v>133</v>
      </c>
      <c r="S36" s="95"/>
      <c r="T36" s="101" t="s">
        <v>145</v>
      </c>
      <c r="U36" s="101"/>
      <c r="V36" s="95">
        <v>0</v>
      </c>
      <c r="W36" s="95">
        <v>0</v>
      </c>
      <c r="X36" s="95">
        <v>0</v>
      </c>
      <c r="Y36" s="95"/>
      <c r="Z36" s="95">
        <v>0</v>
      </c>
      <c r="AA36" s="95">
        <v>0</v>
      </c>
      <c r="AB36" s="95">
        <v>0</v>
      </c>
      <c r="AC36" s="95">
        <v>0</v>
      </c>
      <c r="AD36" s="95">
        <v>0</v>
      </c>
      <c r="AE36" s="95">
        <v>0</v>
      </c>
      <c r="AF36" s="95">
        <v>0</v>
      </c>
      <c r="AG36" s="95">
        <v>0</v>
      </c>
      <c r="AH36" s="102"/>
    </row>
    <row r="37" spans="1:34" ht="30.65" customHeight="1">
      <c r="A37" s="103">
        <v>30</v>
      </c>
      <c r="B37" s="106" t="s">
        <v>238</v>
      </c>
      <c r="C37" s="95" t="s">
        <v>128</v>
      </c>
      <c r="D37" s="104">
        <v>46054</v>
      </c>
      <c r="E37" s="97">
        <f t="shared" ca="1" si="0"/>
        <v>46244</v>
      </c>
      <c r="F37" s="97" t="str">
        <f t="shared" ca="1" si="1"/>
        <v>0 Tahun 6 Bulan 9 Hari</v>
      </c>
      <c r="G37" s="95" t="s">
        <v>204</v>
      </c>
      <c r="H37" s="95"/>
      <c r="I37" s="95"/>
      <c r="J37" s="95" t="s">
        <v>239</v>
      </c>
      <c r="K37" s="95"/>
      <c r="L37" s="95"/>
      <c r="M37" s="104">
        <v>0</v>
      </c>
      <c r="N37" s="97" t="str">
        <f t="shared" ca="1" si="2"/>
        <v>126 Tahun 7 Bulan 10 Hari</v>
      </c>
      <c r="O37" s="99">
        <v>0</v>
      </c>
      <c r="P37" s="95">
        <v>0</v>
      </c>
      <c r="Q37" s="95"/>
      <c r="R37" s="100" t="s">
        <v>155</v>
      </c>
      <c r="S37" s="95"/>
      <c r="T37" s="101" t="s">
        <v>135</v>
      </c>
      <c r="U37" s="101"/>
      <c r="V37" s="95">
        <v>0</v>
      </c>
      <c r="W37" s="95">
        <v>0</v>
      </c>
      <c r="X37" s="95">
        <v>0</v>
      </c>
      <c r="Y37" s="95"/>
      <c r="Z37" s="95">
        <v>0</v>
      </c>
      <c r="AA37" s="95">
        <v>0</v>
      </c>
      <c r="AB37" s="95">
        <v>0</v>
      </c>
      <c r="AC37" s="95">
        <v>0</v>
      </c>
      <c r="AD37" s="95">
        <v>0</v>
      </c>
      <c r="AE37" s="95">
        <v>0</v>
      </c>
      <c r="AF37" s="95">
        <v>0</v>
      </c>
      <c r="AG37" s="95">
        <v>0</v>
      </c>
      <c r="AH37" s="102"/>
    </row>
    <row r="38" spans="1:34" ht="30.65" customHeight="1">
      <c r="A38" s="93">
        <v>31</v>
      </c>
      <c r="B38" s="106" t="s">
        <v>240</v>
      </c>
      <c r="C38" s="95" t="s">
        <v>128</v>
      </c>
      <c r="D38" s="104">
        <v>44805</v>
      </c>
      <c r="E38" s="97">
        <f t="shared" ca="1" si="0"/>
        <v>46244</v>
      </c>
      <c r="F38" s="97" t="str">
        <f t="shared" ca="1" si="1"/>
        <v>3 Tahun 11 Bulan 9 Hari</v>
      </c>
      <c r="G38" s="95" t="s">
        <v>129</v>
      </c>
      <c r="H38" s="95"/>
      <c r="I38" s="95"/>
      <c r="J38" s="95" t="s">
        <v>216</v>
      </c>
      <c r="K38" s="98" t="s">
        <v>241</v>
      </c>
      <c r="L38" s="95" t="s">
        <v>242</v>
      </c>
      <c r="M38" s="104">
        <v>31855</v>
      </c>
      <c r="N38" s="97" t="str">
        <f t="shared" ca="1" si="2"/>
        <v>39 Tahun 4 Bulan 22 Hari</v>
      </c>
      <c r="O38" s="99"/>
      <c r="P38" s="95"/>
      <c r="Q38" s="95"/>
      <c r="R38" s="100" t="s">
        <v>133</v>
      </c>
      <c r="S38" s="95"/>
      <c r="T38" s="101" t="s">
        <v>135</v>
      </c>
      <c r="U38" s="101"/>
      <c r="V38" s="95">
        <v>0</v>
      </c>
      <c r="W38" s="95">
        <v>0</v>
      </c>
      <c r="X38" s="95">
        <v>2</v>
      </c>
      <c r="Y38" s="95"/>
      <c r="Z38" s="95">
        <v>0</v>
      </c>
      <c r="AA38" s="95">
        <v>0</v>
      </c>
      <c r="AB38" s="95">
        <v>0</v>
      </c>
      <c r="AC38" s="95" t="s">
        <v>243</v>
      </c>
      <c r="AD38" s="95">
        <v>0</v>
      </c>
      <c r="AE38" s="95">
        <v>0</v>
      </c>
      <c r="AF38" s="95">
        <v>0</v>
      </c>
      <c r="AG38" s="95">
        <v>0</v>
      </c>
      <c r="AH38" s="102"/>
    </row>
    <row r="39" spans="1:34" ht="30.65" customHeight="1">
      <c r="A39" s="103">
        <v>32</v>
      </c>
      <c r="B39" s="106" t="s">
        <v>244</v>
      </c>
      <c r="C39" s="95" t="s">
        <v>128</v>
      </c>
      <c r="D39" s="104">
        <v>45231</v>
      </c>
      <c r="E39" s="97">
        <f t="shared" ca="1" si="0"/>
        <v>46244</v>
      </c>
      <c r="F39" s="97" t="str">
        <f t="shared" ca="1" si="1"/>
        <v>2 Tahun 9 Bulan 9 Hari</v>
      </c>
      <c r="G39" s="95" t="s">
        <v>204</v>
      </c>
      <c r="H39" s="95"/>
      <c r="I39" s="95"/>
      <c r="J39" s="95" t="s">
        <v>216</v>
      </c>
      <c r="K39" s="98" t="s">
        <v>245</v>
      </c>
      <c r="L39" s="95" t="s">
        <v>246</v>
      </c>
      <c r="M39" s="104">
        <v>36301</v>
      </c>
      <c r="N39" s="97" t="str">
        <f t="shared" ca="1" si="2"/>
        <v>27 Tahun 2 Bulan 20 Hari</v>
      </c>
      <c r="O39" s="99"/>
      <c r="P39" s="95"/>
      <c r="Q39" s="95"/>
      <c r="R39" s="100" t="s">
        <v>133</v>
      </c>
      <c r="S39" s="95"/>
      <c r="T39" s="101" t="s">
        <v>135</v>
      </c>
      <c r="U39" s="101"/>
      <c r="V39" s="95">
        <v>0</v>
      </c>
      <c r="W39" s="95">
        <v>0</v>
      </c>
      <c r="X39" s="95">
        <v>2</v>
      </c>
      <c r="Y39" s="95"/>
      <c r="Z39" s="95">
        <v>0</v>
      </c>
      <c r="AA39" s="95">
        <v>0</v>
      </c>
      <c r="AB39" s="95" t="s">
        <v>247</v>
      </c>
      <c r="AC39" s="95">
        <v>0</v>
      </c>
      <c r="AD39" s="95">
        <v>0</v>
      </c>
      <c r="AE39" s="95">
        <v>0</v>
      </c>
      <c r="AF39" s="95">
        <v>0</v>
      </c>
      <c r="AG39" s="95">
        <v>0</v>
      </c>
      <c r="AH39" s="102"/>
    </row>
    <row r="40" spans="1:34" ht="30.65" customHeight="1">
      <c r="A40" s="93">
        <v>33</v>
      </c>
      <c r="B40" s="106" t="s">
        <v>248</v>
      </c>
      <c r="C40" s="95" t="s">
        <v>128</v>
      </c>
      <c r="D40" s="104">
        <v>45231</v>
      </c>
      <c r="E40" s="97">
        <f t="shared" ca="1" si="0"/>
        <v>46244</v>
      </c>
      <c r="F40" s="97" t="str">
        <f t="shared" ca="1" si="1"/>
        <v>2 Tahun 9 Bulan 9 Hari</v>
      </c>
      <c r="G40" s="95" t="s">
        <v>204</v>
      </c>
      <c r="H40" s="95"/>
      <c r="I40" s="95"/>
      <c r="J40" s="95" t="s">
        <v>224</v>
      </c>
      <c r="K40" s="98" t="s">
        <v>249</v>
      </c>
      <c r="L40" s="95" t="s">
        <v>250</v>
      </c>
      <c r="M40" s="104">
        <v>35867</v>
      </c>
      <c r="N40" s="97" t="str">
        <f t="shared" ca="1" si="2"/>
        <v>28 Tahun 4 Bulan 28 Hari</v>
      </c>
      <c r="O40" s="99"/>
      <c r="P40" s="95"/>
      <c r="Q40" s="95"/>
      <c r="R40" s="100" t="s">
        <v>133</v>
      </c>
      <c r="S40" s="95"/>
      <c r="T40" s="101" t="s">
        <v>135</v>
      </c>
      <c r="U40" s="101"/>
      <c r="V40" s="95">
        <v>0</v>
      </c>
      <c r="W40" s="95">
        <v>0</v>
      </c>
      <c r="X40" s="95">
        <v>2</v>
      </c>
      <c r="Y40" s="95"/>
      <c r="Z40" s="95">
        <v>0</v>
      </c>
      <c r="AA40" s="95">
        <v>0</v>
      </c>
      <c r="AB40" s="95" t="s">
        <v>251</v>
      </c>
      <c r="AC40" s="95">
        <v>0</v>
      </c>
      <c r="AD40" s="95">
        <v>0</v>
      </c>
      <c r="AE40" s="95" t="s">
        <v>252</v>
      </c>
      <c r="AF40" s="95">
        <v>0</v>
      </c>
      <c r="AG40" s="95">
        <v>0</v>
      </c>
      <c r="AH40" s="102"/>
    </row>
    <row r="41" spans="1:34" ht="30.65" customHeight="1">
      <c r="A41" s="103">
        <v>34</v>
      </c>
      <c r="B41" s="106" t="s">
        <v>253</v>
      </c>
      <c r="C41" s="95" t="s">
        <v>128</v>
      </c>
      <c r="D41" s="104">
        <v>45474</v>
      </c>
      <c r="E41" s="97">
        <f t="shared" ca="1" si="0"/>
        <v>46244</v>
      </c>
      <c r="F41" s="97" t="str">
        <f t="shared" ca="1" si="1"/>
        <v>2 Tahun 1 Bulan 9 Hari</v>
      </c>
      <c r="G41" s="95" t="s">
        <v>204</v>
      </c>
      <c r="H41" s="95"/>
      <c r="I41" s="95"/>
      <c r="J41" s="95" t="s">
        <v>224</v>
      </c>
      <c r="K41" s="98" t="s">
        <v>254</v>
      </c>
      <c r="L41" s="95" t="s">
        <v>255</v>
      </c>
      <c r="M41" s="104">
        <v>38741</v>
      </c>
      <c r="N41" s="97" t="str">
        <f t="shared" ca="1" si="2"/>
        <v>20 Tahun 6 Bulan 17 Hari</v>
      </c>
      <c r="O41" s="99"/>
      <c r="P41" s="95"/>
      <c r="Q41" s="95"/>
      <c r="R41" s="100" t="s">
        <v>155</v>
      </c>
      <c r="S41" s="95"/>
      <c r="T41" s="101" t="s">
        <v>145</v>
      </c>
      <c r="U41" s="101"/>
      <c r="V41" s="95">
        <v>0</v>
      </c>
      <c r="W41" s="95">
        <v>0</v>
      </c>
      <c r="X41" s="95">
        <v>0</v>
      </c>
      <c r="Y41" s="95"/>
      <c r="Z41" s="95">
        <v>0</v>
      </c>
      <c r="AA41" s="95">
        <v>0</v>
      </c>
      <c r="AB41" s="95" t="s">
        <v>256</v>
      </c>
      <c r="AC41" s="95">
        <v>0</v>
      </c>
      <c r="AD41" s="95">
        <v>0</v>
      </c>
      <c r="AE41" s="95">
        <v>0</v>
      </c>
      <c r="AF41" s="95">
        <v>0</v>
      </c>
      <c r="AG41" s="95">
        <v>0</v>
      </c>
      <c r="AH41" s="102"/>
    </row>
    <row r="42" spans="1:34" ht="30.65" customHeight="1">
      <c r="A42" s="93">
        <v>35</v>
      </c>
      <c r="B42" s="106" t="s">
        <v>257</v>
      </c>
      <c r="C42" s="95" t="s">
        <v>128</v>
      </c>
      <c r="D42" s="104">
        <v>45566</v>
      </c>
      <c r="E42" s="97">
        <f t="shared" ca="1" si="0"/>
        <v>46244</v>
      </c>
      <c r="F42" s="97" t="str">
        <f t="shared" ca="1" si="1"/>
        <v>1 Tahun 10 Bulan 9 Hari</v>
      </c>
      <c r="G42" s="95" t="s">
        <v>204</v>
      </c>
      <c r="H42" s="95"/>
      <c r="I42" s="95"/>
      <c r="J42" s="95" t="s">
        <v>236</v>
      </c>
      <c r="K42" s="98" t="s">
        <v>258</v>
      </c>
      <c r="L42" s="95" t="s">
        <v>259</v>
      </c>
      <c r="M42" s="104">
        <v>35350</v>
      </c>
      <c r="N42" s="97" t="str">
        <f t="shared" ca="1" si="2"/>
        <v>29 Tahun 9 Bulan 29 Hari</v>
      </c>
      <c r="O42" s="99"/>
      <c r="P42" s="95"/>
      <c r="Q42" s="95"/>
      <c r="R42" s="100" t="s">
        <v>133</v>
      </c>
      <c r="S42" s="95"/>
      <c r="T42" s="101" t="s">
        <v>135</v>
      </c>
      <c r="U42" s="101"/>
      <c r="V42" s="95">
        <v>0</v>
      </c>
      <c r="W42" s="95">
        <v>0</v>
      </c>
      <c r="X42" s="95">
        <v>1</v>
      </c>
      <c r="Y42" s="95"/>
      <c r="Z42" s="95">
        <v>0</v>
      </c>
      <c r="AA42" s="95">
        <v>0</v>
      </c>
      <c r="AB42" s="95" t="s">
        <v>260</v>
      </c>
      <c r="AC42" s="95">
        <v>0</v>
      </c>
      <c r="AD42" s="95">
        <v>0</v>
      </c>
      <c r="AE42" s="95">
        <v>0</v>
      </c>
      <c r="AF42" s="95">
        <v>0</v>
      </c>
      <c r="AG42" s="95">
        <v>0</v>
      </c>
      <c r="AH42" s="102"/>
    </row>
    <row r="43" spans="1:34" ht="30.65" customHeight="1">
      <c r="A43" s="103">
        <v>36</v>
      </c>
      <c r="B43" s="106" t="s">
        <v>261</v>
      </c>
      <c r="C43" s="95" t="s">
        <v>128</v>
      </c>
      <c r="D43" s="104">
        <v>45870</v>
      </c>
      <c r="E43" s="97">
        <f t="shared" ca="1" si="0"/>
        <v>46244</v>
      </c>
      <c r="F43" s="97" t="str">
        <f t="shared" ca="1" si="1"/>
        <v>1 Tahun 0 Bulan 9 Hari</v>
      </c>
      <c r="G43" s="95" t="s">
        <v>204</v>
      </c>
      <c r="H43" s="95"/>
      <c r="I43" s="95"/>
      <c r="J43" s="95" t="s">
        <v>224</v>
      </c>
      <c r="K43" s="98" t="s">
        <v>262</v>
      </c>
      <c r="L43" s="95" t="s">
        <v>263</v>
      </c>
      <c r="M43" s="104">
        <v>36762</v>
      </c>
      <c r="N43" s="97" t="str">
        <f t="shared" ca="1" si="2"/>
        <v>25 Tahun 11 Bulan 17 Hari</v>
      </c>
      <c r="O43" s="99"/>
      <c r="P43" s="95"/>
      <c r="Q43" s="95"/>
      <c r="R43" s="100" t="s">
        <v>133</v>
      </c>
      <c r="S43" s="95"/>
      <c r="T43" s="101" t="s">
        <v>145</v>
      </c>
      <c r="U43" s="101"/>
      <c r="V43" s="95">
        <v>0</v>
      </c>
      <c r="W43" s="95">
        <v>0</v>
      </c>
      <c r="X43" s="95">
        <v>0</v>
      </c>
      <c r="Y43" s="95"/>
      <c r="Z43" s="95"/>
      <c r="AA43" s="95">
        <v>0</v>
      </c>
      <c r="AB43" s="95" t="s">
        <v>264</v>
      </c>
      <c r="AC43" s="95" t="s">
        <v>265</v>
      </c>
      <c r="AD43" s="95">
        <v>0</v>
      </c>
      <c r="AE43" s="95" t="s">
        <v>266</v>
      </c>
      <c r="AF43" s="95">
        <v>0</v>
      </c>
      <c r="AG43" s="95">
        <v>0</v>
      </c>
      <c r="AH43" s="102"/>
    </row>
    <row r="44" spans="1:34" ht="20.149999999999999" customHeight="1"/>
    <row r="45" spans="1:34" ht="20.149999999999999" customHeight="1"/>
    <row r="46" spans="1:34" ht="20.149999999999999" customHeight="1"/>
    <row r="47" spans="1:34" ht="20.149999999999999" customHeight="1"/>
    <row r="48" spans="1:34" ht="20.149999999999999" customHeight="1"/>
    <row r="49" ht="20.149999999999999" customHeight="1"/>
    <row r="50" ht="20.149999999999999" customHeight="1"/>
    <row r="51" ht="20.149999999999999" customHeight="1"/>
    <row r="52" ht="20.149999999999999" customHeight="1"/>
    <row r="53" ht="20.149999999999999" customHeight="1"/>
    <row r="54" ht="20.149999999999999" customHeight="1"/>
    <row r="55" ht="20.149999999999999" customHeight="1"/>
    <row r="56" ht="20.149999999999999" customHeight="1"/>
    <row r="57" ht="20.149999999999999" customHeight="1"/>
    <row r="58" ht="20.149999999999999" customHeight="1"/>
    <row r="59" ht="20.149999999999999" customHeight="1"/>
    <row r="60" ht="20.149999999999999" customHeight="1"/>
    <row r="61" ht="20.149999999999999" customHeight="1"/>
    <row r="62" ht="20.149999999999999" customHeight="1"/>
    <row r="63" ht="20.149999999999999" customHeight="1"/>
    <row r="64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  <row r="70" ht="20.149999999999999" customHeight="1"/>
    <row r="71" ht="20.149999999999999" customHeight="1"/>
    <row r="72" ht="20.149999999999999" customHeight="1"/>
    <row r="73" ht="20.149999999999999" customHeight="1"/>
    <row r="74" ht="20.149999999999999" customHeight="1"/>
    <row r="75" ht="20.149999999999999" customHeight="1"/>
    <row r="76" ht="20.149999999999999" customHeight="1"/>
    <row r="77" ht="20.149999999999999" customHeight="1"/>
    <row r="78" ht="20.149999999999999" customHeight="1"/>
    <row r="79" ht="20.149999999999999" customHeight="1"/>
    <row r="80" ht="20.149999999999999" customHeight="1"/>
    <row r="81" ht="20.149999999999999" customHeight="1"/>
    <row r="82" ht="20.149999999999999" customHeight="1"/>
    <row r="83" ht="20.149999999999999" customHeight="1"/>
    <row r="84" ht="20.149999999999999" customHeight="1"/>
    <row r="85" ht="20.149999999999999" customHeight="1"/>
    <row r="86" ht="20.149999999999999" customHeight="1"/>
    <row r="87" ht="20.149999999999999" customHeight="1"/>
    <row r="88" ht="20.149999999999999" customHeight="1"/>
    <row r="89" ht="20.149999999999999" customHeight="1"/>
    <row r="90" ht="20.149999999999999" customHeight="1"/>
    <row r="91" ht="20.149999999999999" customHeight="1"/>
    <row r="92" ht="20.149999999999999" customHeight="1"/>
    <row r="93" ht="20.149999999999999" customHeight="1"/>
    <row r="94" ht="20.149999999999999" customHeight="1"/>
    <row r="95" ht="20.149999999999999" customHeight="1"/>
    <row r="96" ht="20.149999999999999" customHeight="1"/>
    <row r="97" ht="20.149999999999999" customHeight="1"/>
    <row r="98" ht="20.149999999999999" customHeight="1"/>
    <row r="99" ht="20.149999999999999" customHeight="1"/>
    <row r="100" ht="20.149999999999999" customHeight="1"/>
    <row r="101" ht="20.149999999999999" customHeight="1"/>
    <row r="102" ht="20.149999999999999" customHeight="1"/>
    <row r="103" ht="20.149999999999999" customHeight="1"/>
    <row r="104" ht="20.149999999999999" customHeight="1"/>
    <row r="105" ht="20.149999999999999" customHeight="1"/>
    <row r="106" ht="20.149999999999999" customHeight="1"/>
    <row r="107" ht="20.149999999999999" customHeight="1"/>
    <row r="108" ht="20.149999999999999" customHeight="1"/>
    <row r="109" ht="20.149999999999999" customHeight="1"/>
    <row r="110" ht="20.149999999999999" customHeight="1"/>
    <row r="111" ht="20.149999999999999" customHeight="1"/>
    <row r="112" ht="20.149999999999999" customHeight="1"/>
    <row r="113" ht="20.149999999999999" customHeight="1"/>
    <row r="114" ht="20.149999999999999" customHeight="1"/>
    <row r="115" ht="20.149999999999999" customHeight="1"/>
    <row r="116" ht="20.149999999999999" customHeight="1"/>
    <row r="117" ht="20.149999999999999" customHeight="1"/>
    <row r="118" ht="20.149999999999999" customHeight="1"/>
  </sheetData>
  <autoFilter ref="A6:AH43" xr:uid="{00000000-0009-0000-0000-000000000000}">
    <sortState xmlns:xlrd2="http://schemas.microsoft.com/office/spreadsheetml/2017/richdata2" ref="A6:AH43">
      <sortCondition ref="D6:D34"/>
    </sortState>
  </autoFilter>
  <mergeCells count="33">
    <mergeCell ref="AF6:AF7"/>
    <mergeCell ref="AG6:AG7"/>
    <mergeCell ref="AH6:AH7"/>
    <mergeCell ref="Y6:Z6"/>
    <mergeCell ref="AA6:AA7"/>
    <mergeCell ref="AB6:AB7"/>
    <mergeCell ref="AC6:AC7"/>
    <mergeCell ref="AD6:AD7"/>
    <mergeCell ref="AE6:AE7"/>
    <mergeCell ref="X6:X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L6:L7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</mergeCells>
  <pageMargins left="0.7" right="0.7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69"/>
  <sheetViews>
    <sheetView tabSelected="1" view="pageBreakPreview" zoomScale="89" zoomScaleNormal="100" zoomScaleSheetLayoutView="89" workbookViewId="0">
      <pane xSplit="3" ySplit="7" topLeftCell="AF8" activePane="bottomRight" state="frozen"/>
      <selection pane="topRight" activeCell="D1" sqref="D1"/>
      <selection pane="bottomLeft" activeCell="A8" sqref="A8"/>
      <selection pane="bottomRight" activeCell="AH11" sqref="AH11"/>
    </sheetView>
  </sheetViews>
  <sheetFormatPr defaultColWidth="9.1796875" defaultRowHeight="14"/>
  <cols>
    <col min="1" max="1" width="3.81640625" style="58" customWidth="1"/>
    <col min="2" max="2" width="33.1796875" style="58" customWidth="1"/>
    <col min="3" max="3" width="19.1796875" style="58" customWidth="1"/>
    <col min="4" max="4" width="5.81640625" style="58" customWidth="1"/>
    <col min="5" max="13" width="5" style="58" customWidth="1"/>
    <col min="14" max="14" width="12" style="58" customWidth="1"/>
    <col min="15" max="16" width="5" style="58" customWidth="1"/>
    <col min="17" max="17" width="23" style="58" customWidth="1"/>
    <col min="18" max="18" width="5" style="58" customWidth="1"/>
    <col min="19" max="19" width="10.26953125" style="58" customWidth="1"/>
    <col min="20" max="40" width="18.453125" style="58" customWidth="1"/>
    <col min="41" max="41" width="14" style="58" customWidth="1"/>
    <col min="42" max="42" width="10.54296875" style="58" customWidth="1"/>
    <col min="43" max="43" width="14.7265625" style="58" customWidth="1"/>
    <col min="44" max="44" width="12.54296875" style="58" customWidth="1"/>
    <col min="45" max="45" width="10.54296875" style="58" customWidth="1"/>
    <col min="46" max="46" width="8.453125" style="58" customWidth="1"/>
    <col min="47" max="47" width="12.7265625" style="58" customWidth="1"/>
    <col min="48" max="48" width="26.1796875" style="58" customWidth="1"/>
    <col min="49" max="49" width="17" style="7" customWidth="1"/>
    <col min="50" max="16384" width="9.1796875" style="7"/>
  </cols>
  <sheetData>
    <row r="1" spans="1:49" s="6" customFormat="1" ht="20">
      <c r="A1" s="6" t="s">
        <v>87</v>
      </c>
    </row>
    <row r="2" spans="1:49" ht="18">
      <c r="A2" s="74" t="s">
        <v>88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</row>
    <row r="3" spans="1:49" ht="18">
      <c r="A3" s="74"/>
      <c r="B3" s="7" t="s">
        <v>269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40">
        <v>125000</v>
      </c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</row>
    <row r="4" spans="1:49" ht="18">
      <c r="A4" s="74"/>
      <c r="B4" s="7" t="s">
        <v>89</v>
      </c>
      <c r="C4" s="7"/>
      <c r="D4" s="7"/>
      <c r="E4" s="7"/>
      <c r="F4" s="7"/>
      <c r="G4" s="7"/>
      <c r="H4" s="7"/>
      <c r="I4" s="7"/>
      <c r="J4" s="7"/>
      <c r="K4" s="7"/>
      <c r="L4" s="75" t="s">
        <v>84</v>
      </c>
      <c r="M4" s="75"/>
      <c r="N4" s="75"/>
      <c r="O4" s="75"/>
      <c r="P4" s="75"/>
      <c r="Q4" s="75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r="5" spans="1:49" ht="18">
      <c r="A5" s="74"/>
      <c r="B5" s="107">
        <f ca="1">TODAY()</f>
        <v>46244</v>
      </c>
      <c r="C5" s="107"/>
      <c r="D5" s="107"/>
      <c r="E5" s="7"/>
      <c r="F5" s="7"/>
      <c r="G5" s="7"/>
      <c r="H5" s="7"/>
      <c r="I5" s="7"/>
      <c r="J5" s="7"/>
      <c r="K5" s="7"/>
      <c r="L5" s="76" t="s">
        <v>83</v>
      </c>
      <c r="M5" s="76"/>
      <c r="N5" s="76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</row>
    <row r="6" spans="1:49" s="1" customFormat="1" ht="10.5">
      <c r="A6" s="71" t="s">
        <v>0</v>
      </c>
      <c r="B6" s="71"/>
      <c r="C6" s="112"/>
      <c r="D6" s="112"/>
    </row>
    <row r="7" spans="1:49" s="1" customFormat="1" ht="10.5">
      <c r="A7" s="59">
        <v>1</v>
      </c>
      <c r="B7" s="59">
        <v>2</v>
      </c>
      <c r="C7" s="59">
        <v>3</v>
      </c>
      <c r="D7" s="59">
        <v>4</v>
      </c>
      <c r="E7" s="59">
        <v>5</v>
      </c>
      <c r="F7" s="59">
        <v>6</v>
      </c>
      <c r="G7" s="59">
        <v>7</v>
      </c>
      <c r="H7" s="59">
        <v>8</v>
      </c>
      <c r="I7" s="59">
        <v>9</v>
      </c>
      <c r="J7" s="59">
        <v>10</v>
      </c>
      <c r="K7" s="59">
        <v>11</v>
      </c>
      <c r="L7" s="59">
        <v>12</v>
      </c>
      <c r="M7" s="59">
        <v>13</v>
      </c>
      <c r="N7" s="59">
        <v>14</v>
      </c>
      <c r="O7" s="59">
        <v>15</v>
      </c>
      <c r="P7" s="59">
        <v>16</v>
      </c>
      <c r="Q7" s="59">
        <v>17</v>
      </c>
      <c r="R7" s="59">
        <v>18</v>
      </c>
      <c r="S7" s="59">
        <v>19</v>
      </c>
      <c r="T7" s="59">
        <v>20</v>
      </c>
      <c r="U7" s="59">
        <v>21</v>
      </c>
      <c r="V7" s="59">
        <v>22</v>
      </c>
      <c r="W7" s="59">
        <v>23</v>
      </c>
      <c r="X7" s="59">
        <v>24</v>
      </c>
      <c r="Y7" s="59">
        <v>25</v>
      </c>
      <c r="Z7" s="59">
        <v>26</v>
      </c>
      <c r="AA7" s="59">
        <v>27</v>
      </c>
      <c r="AB7" s="59">
        <v>28</v>
      </c>
      <c r="AC7" s="59">
        <v>29</v>
      </c>
      <c r="AD7" s="59">
        <v>30</v>
      </c>
      <c r="AE7" s="59">
        <v>31</v>
      </c>
      <c r="AF7" s="59">
        <v>32</v>
      </c>
      <c r="AG7" s="59">
        <v>33</v>
      </c>
      <c r="AH7" s="59">
        <v>34</v>
      </c>
      <c r="AI7" s="59">
        <v>35</v>
      </c>
      <c r="AJ7" s="59">
        <v>36</v>
      </c>
      <c r="AK7" s="59">
        <v>37</v>
      </c>
      <c r="AL7" s="59">
        <v>38</v>
      </c>
      <c r="AM7" s="59">
        <v>39</v>
      </c>
      <c r="AN7" s="59">
        <v>40</v>
      </c>
      <c r="AO7" s="59">
        <v>41</v>
      </c>
      <c r="AP7" s="59">
        <v>42</v>
      </c>
      <c r="AQ7" s="59">
        <v>43</v>
      </c>
      <c r="AR7" s="59">
        <v>44</v>
      </c>
      <c r="AS7" s="59">
        <v>45</v>
      </c>
      <c r="AT7" s="59">
        <v>46</v>
      </c>
      <c r="AU7" s="59">
        <v>47</v>
      </c>
      <c r="AV7" s="59">
        <v>48</v>
      </c>
      <c r="AW7" s="59">
        <v>49</v>
      </c>
    </row>
    <row r="8" spans="1:49" s="1" customFormat="1" ht="23.25" customHeight="1">
      <c r="A8" s="211" t="s">
        <v>1</v>
      </c>
      <c r="B8" s="211" t="s">
        <v>2</v>
      </c>
      <c r="C8" s="211" t="s">
        <v>101</v>
      </c>
      <c r="D8" s="208" t="s">
        <v>271</v>
      </c>
      <c r="E8" s="208" t="s">
        <v>3</v>
      </c>
      <c r="F8" s="208" t="s">
        <v>4</v>
      </c>
      <c r="G8" s="208" t="s">
        <v>5</v>
      </c>
      <c r="H8" s="226" t="s">
        <v>6</v>
      </c>
      <c r="I8" s="208" t="s">
        <v>7</v>
      </c>
      <c r="J8" s="226" t="s">
        <v>75</v>
      </c>
      <c r="K8" s="226" t="s">
        <v>8</v>
      </c>
      <c r="L8" s="226" t="s">
        <v>9</v>
      </c>
      <c r="M8" s="226" t="s">
        <v>76</v>
      </c>
      <c r="N8" s="214" t="s">
        <v>77</v>
      </c>
      <c r="O8" s="223" t="s">
        <v>398</v>
      </c>
      <c r="P8" s="217" t="s">
        <v>272</v>
      </c>
      <c r="Q8" s="220" t="s">
        <v>70</v>
      </c>
      <c r="R8" s="223" t="s">
        <v>270</v>
      </c>
      <c r="S8" s="223" t="s">
        <v>275</v>
      </c>
      <c r="T8" s="229" t="s">
        <v>11</v>
      </c>
      <c r="U8" s="230"/>
      <c r="V8" s="230"/>
      <c r="W8" s="231"/>
      <c r="X8" s="211" t="s">
        <v>12</v>
      </c>
      <c r="Y8" s="232" t="s">
        <v>13</v>
      </c>
      <c r="Z8" s="233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3"/>
      <c r="AL8" s="234" t="s">
        <v>14</v>
      </c>
      <c r="AM8" s="250" t="s">
        <v>28</v>
      </c>
      <c r="AN8" s="253" t="s">
        <v>15</v>
      </c>
      <c r="AO8" s="254"/>
      <c r="AP8" s="255"/>
      <c r="AQ8" s="5"/>
      <c r="AR8" s="5"/>
      <c r="AS8" s="5"/>
      <c r="AT8" s="5"/>
      <c r="AU8" s="256" t="s">
        <v>16</v>
      </c>
      <c r="AV8" s="259" t="s">
        <v>17</v>
      </c>
      <c r="AW8" s="259" t="s">
        <v>29</v>
      </c>
    </row>
    <row r="9" spans="1:49" s="1" customFormat="1" ht="23.25" customHeight="1">
      <c r="A9" s="212"/>
      <c r="B9" s="212"/>
      <c r="C9" s="212"/>
      <c r="D9" s="209"/>
      <c r="E9" s="209"/>
      <c r="F9" s="209"/>
      <c r="G9" s="209"/>
      <c r="H9" s="227"/>
      <c r="I9" s="209"/>
      <c r="J9" s="227"/>
      <c r="K9" s="227"/>
      <c r="L9" s="227"/>
      <c r="M9" s="227"/>
      <c r="N9" s="215"/>
      <c r="O9" s="224"/>
      <c r="P9" s="218"/>
      <c r="Q9" s="221"/>
      <c r="R9" s="224"/>
      <c r="S9" s="224"/>
      <c r="T9" s="244" t="s">
        <v>30</v>
      </c>
      <c r="U9" s="229" t="s">
        <v>18</v>
      </c>
      <c r="V9" s="230"/>
      <c r="W9" s="231"/>
      <c r="X9" s="212"/>
      <c r="Y9" s="237" t="s">
        <v>19</v>
      </c>
      <c r="Z9" s="237" t="s">
        <v>33</v>
      </c>
      <c r="AA9" s="239" t="s">
        <v>20</v>
      </c>
      <c r="AB9" s="240"/>
      <c r="AC9" s="240"/>
      <c r="AD9" s="241"/>
      <c r="AE9" s="242" t="s">
        <v>86</v>
      </c>
      <c r="AF9" s="237" t="s">
        <v>21</v>
      </c>
      <c r="AG9" s="237" t="s">
        <v>22</v>
      </c>
      <c r="AH9" s="237" t="s">
        <v>23</v>
      </c>
      <c r="AI9" s="237" t="s">
        <v>276</v>
      </c>
      <c r="AJ9" s="237" t="s">
        <v>24</v>
      </c>
      <c r="AK9" s="237" t="s">
        <v>79</v>
      </c>
      <c r="AL9" s="235"/>
      <c r="AM9" s="251"/>
      <c r="AN9" s="246" t="s">
        <v>413</v>
      </c>
      <c r="AO9" s="248" t="s">
        <v>414</v>
      </c>
      <c r="AP9" s="246" t="s">
        <v>10</v>
      </c>
      <c r="AQ9" s="246" t="s">
        <v>71</v>
      </c>
      <c r="AR9" s="246" t="s">
        <v>69</v>
      </c>
      <c r="AS9" s="246" t="s">
        <v>34</v>
      </c>
      <c r="AT9" s="246" t="s">
        <v>81</v>
      </c>
      <c r="AU9" s="257"/>
      <c r="AV9" s="260"/>
      <c r="AW9" s="260"/>
    </row>
    <row r="10" spans="1:49" s="1" customFormat="1" ht="23.25" customHeight="1">
      <c r="A10" s="213"/>
      <c r="B10" s="213"/>
      <c r="C10" s="213"/>
      <c r="D10" s="210"/>
      <c r="E10" s="210"/>
      <c r="F10" s="210"/>
      <c r="G10" s="210"/>
      <c r="H10" s="228"/>
      <c r="I10" s="210"/>
      <c r="J10" s="228"/>
      <c r="K10" s="228"/>
      <c r="L10" s="228"/>
      <c r="M10" s="228"/>
      <c r="N10" s="216"/>
      <c r="O10" s="225"/>
      <c r="P10" s="219"/>
      <c r="Q10" s="222"/>
      <c r="R10" s="225"/>
      <c r="S10" s="224"/>
      <c r="T10" s="245"/>
      <c r="U10" s="4" t="s">
        <v>25</v>
      </c>
      <c r="V10" s="2" t="s">
        <v>26</v>
      </c>
      <c r="W10" s="3" t="s">
        <v>27</v>
      </c>
      <c r="X10" s="213"/>
      <c r="Y10" s="238"/>
      <c r="Z10" s="238"/>
      <c r="AA10" s="57">
        <v>1</v>
      </c>
      <c r="AB10" s="57">
        <v>2</v>
      </c>
      <c r="AC10" s="57">
        <v>3</v>
      </c>
      <c r="AD10" s="57">
        <v>4</v>
      </c>
      <c r="AE10" s="243"/>
      <c r="AF10" s="238"/>
      <c r="AG10" s="238"/>
      <c r="AH10" s="238"/>
      <c r="AI10" s="238"/>
      <c r="AJ10" s="238"/>
      <c r="AK10" s="238"/>
      <c r="AL10" s="236"/>
      <c r="AM10" s="252"/>
      <c r="AN10" s="247"/>
      <c r="AO10" s="249"/>
      <c r="AP10" s="247"/>
      <c r="AQ10" s="247"/>
      <c r="AR10" s="247"/>
      <c r="AS10" s="247"/>
      <c r="AT10" s="247"/>
      <c r="AU10" s="258"/>
      <c r="AV10" s="261"/>
      <c r="AW10" s="261"/>
    </row>
    <row r="11" spans="1:49" ht="15" customHeight="1">
      <c r="A11" s="70">
        <v>1</v>
      </c>
      <c r="B11" s="111" t="str">
        <f>'Data Base Guru SD'!B8</f>
        <v>Hasmiati, S.Pd</v>
      </c>
      <c r="C11" s="111" t="str">
        <f>'Data Base Guru SD'!J8</f>
        <v>Wali Kelas ( Mengaji )</v>
      </c>
      <c r="D11" s="113">
        <f t="shared" ref="D11:D35" si="0">F11+I11</f>
        <v>24</v>
      </c>
      <c r="E11" s="113">
        <v>24</v>
      </c>
      <c r="F11" s="113">
        <f>E11-G11-I11</f>
        <v>24</v>
      </c>
      <c r="G11" s="113">
        <v>0</v>
      </c>
      <c r="H11" s="113">
        <f>E11-G11-I11-J11</f>
        <v>24</v>
      </c>
      <c r="I11" s="114">
        <v>0</v>
      </c>
      <c r="J11" s="113">
        <v>0</v>
      </c>
      <c r="K11" s="113">
        <f>E11-G11-L11-M11</f>
        <v>24</v>
      </c>
      <c r="L11" s="113">
        <v>0</v>
      </c>
      <c r="M11" s="113">
        <v>0</v>
      </c>
      <c r="N11" s="9"/>
      <c r="O11" s="9">
        <v>48</v>
      </c>
      <c r="P11" s="9" t="str">
        <f>'Data Base Guru SD'!R8</f>
        <v>S1</v>
      </c>
      <c r="Q11" s="9" t="str">
        <f ca="1">'Data Base Guru SD'!F8</f>
        <v>13 Tahun 1 Bulan 9 Hari</v>
      </c>
      <c r="R11" s="51">
        <v>13</v>
      </c>
      <c r="S11" s="51" t="str">
        <f>'Data Base Guru SD'!G8</f>
        <v>PT</v>
      </c>
      <c r="T11" s="148">
        <v>2100000</v>
      </c>
      <c r="U11" s="40"/>
      <c r="V11" s="21">
        <f>'Data Base Guru SD'!X8</f>
        <v>7</v>
      </c>
      <c r="W11" s="40">
        <f>V11*20000</f>
        <v>140000</v>
      </c>
      <c r="X11" s="40">
        <f>T11+U11+W11</f>
        <v>2240000</v>
      </c>
      <c r="Y11" s="41">
        <v>400000</v>
      </c>
      <c r="Z11" s="41">
        <v>175000</v>
      </c>
      <c r="AA11" s="41">
        <v>100000</v>
      </c>
      <c r="AB11" s="41"/>
      <c r="AC11" s="41"/>
      <c r="AD11" s="41"/>
      <c r="AE11" s="109">
        <f t="shared" ref="AE11:AE46" si="1">SUM(AA11:AD11)</f>
        <v>100000</v>
      </c>
      <c r="AF11" s="41">
        <f t="shared" ref="AF11:AF46" si="2">F11*10000</f>
        <v>240000</v>
      </c>
      <c r="AG11" s="40">
        <f t="shared" ref="AG11:AG46" si="3">H11*5000</f>
        <v>120000</v>
      </c>
      <c r="AH11" s="40">
        <f t="shared" ref="AH11:AH46" si="4">K11*5000</f>
        <v>120000</v>
      </c>
      <c r="AI11" s="40">
        <f>O11*5000</f>
        <v>240000</v>
      </c>
      <c r="AJ11" s="40">
        <v>150000</v>
      </c>
      <c r="AK11" s="40">
        <v>0</v>
      </c>
      <c r="AL11" s="40">
        <f t="shared" ref="AL11:AL46" si="5">SUM(Y11,Z11,AE11,AF11,AG11,AH11,AI11,AJ11)</f>
        <v>1545000</v>
      </c>
      <c r="AM11" s="40">
        <f t="shared" ref="AM11:AM46" si="6">X11+AL11</f>
        <v>3785000</v>
      </c>
      <c r="AN11" s="40">
        <f>AM11*AO11</f>
        <v>0</v>
      </c>
      <c r="AO11" s="155"/>
      <c r="AP11" s="10">
        <f t="shared" ref="AP11:AP46" si="7">N11</f>
        <v>0</v>
      </c>
      <c r="AQ11" s="40">
        <f>AO11*AP11</f>
        <v>0</v>
      </c>
      <c r="AR11" s="40">
        <v>0</v>
      </c>
      <c r="AS11" s="40">
        <v>0</v>
      </c>
      <c r="AT11" s="40" t="s">
        <v>82</v>
      </c>
      <c r="AU11" s="42">
        <f>SUM(AN11,AQ11,AR11,AS11)</f>
        <v>0</v>
      </c>
      <c r="AV11" s="43" t="str">
        <f t="shared" ref="AV11:AV46" si="8">B11</f>
        <v>Hasmiati, S.Pd</v>
      </c>
      <c r="AW11" s="55">
        <f>AM11-AU11</f>
        <v>3785000</v>
      </c>
    </row>
    <row r="12" spans="1:49" ht="15" customHeight="1">
      <c r="A12" s="70">
        <v>2</v>
      </c>
      <c r="B12" s="111" t="str">
        <f>'Data Base Guru SD'!B9</f>
        <v>Nur Fajriani Usman, S.S</v>
      </c>
      <c r="C12" s="111" t="str">
        <f>'Data Base Guru SD'!J9</f>
        <v>Wali Kelas ( Mengaji )</v>
      </c>
      <c r="D12" s="113">
        <f t="shared" si="0"/>
        <v>24</v>
      </c>
      <c r="E12" s="113">
        <v>24</v>
      </c>
      <c r="F12" s="113">
        <f t="shared" ref="F12:F46" si="9">E12-G12-I12</f>
        <v>24</v>
      </c>
      <c r="G12" s="113">
        <v>0</v>
      </c>
      <c r="H12" s="113">
        <f t="shared" ref="H12:H46" si="10">E12-G12-I12-J12</f>
        <v>24</v>
      </c>
      <c r="I12" s="114">
        <v>0</v>
      </c>
      <c r="J12" s="113">
        <v>0</v>
      </c>
      <c r="K12" s="113">
        <f t="shared" ref="K12:K46" si="11">E12-G12-L12-M12</f>
        <v>24</v>
      </c>
      <c r="L12" s="113">
        <v>0</v>
      </c>
      <c r="M12" s="113">
        <v>0</v>
      </c>
      <c r="N12" s="9"/>
      <c r="O12" s="9">
        <v>48</v>
      </c>
      <c r="P12" s="9" t="str">
        <f>'Data Base Guru SD'!R9</f>
        <v>S1</v>
      </c>
      <c r="Q12" s="9" t="str">
        <f ca="1">'Data Base Guru SD'!F9</f>
        <v>10 Tahun 1 Bulan 9 Hari</v>
      </c>
      <c r="R12" s="51">
        <v>10</v>
      </c>
      <c r="S12" s="51" t="str">
        <f>'Data Base Guru SD'!G9</f>
        <v>PT</v>
      </c>
      <c r="T12" s="149">
        <v>2000000</v>
      </c>
      <c r="U12" s="40"/>
      <c r="V12" s="21">
        <f>'Data Base Guru SD'!X9</f>
        <v>2</v>
      </c>
      <c r="W12" s="40">
        <f t="shared" ref="W12:W46" si="12">V12*20000</f>
        <v>40000</v>
      </c>
      <c r="X12" s="40">
        <f>T12+U12+W12</f>
        <v>2040000</v>
      </c>
      <c r="Y12" s="41"/>
      <c r="Z12" s="41">
        <v>150000</v>
      </c>
      <c r="AA12" s="41">
        <v>100000</v>
      </c>
      <c r="AB12" s="41"/>
      <c r="AC12" s="41"/>
      <c r="AD12" s="41"/>
      <c r="AE12" s="109">
        <f t="shared" si="1"/>
        <v>100000</v>
      </c>
      <c r="AF12" s="41">
        <f t="shared" si="2"/>
        <v>240000</v>
      </c>
      <c r="AG12" s="40">
        <f t="shared" si="3"/>
        <v>120000</v>
      </c>
      <c r="AH12" s="40">
        <f t="shared" si="4"/>
        <v>120000</v>
      </c>
      <c r="AI12" s="40">
        <f t="shared" ref="AI12:AI46" si="13">O12*5000</f>
        <v>240000</v>
      </c>
      <c r="AJ12" s="40">
        <v>150000</v>
      </c>
      <c r="AK12" s="40">
        <v>0</v>
      </c>
      <c r="AL12" s="40">
        <f t="shared" si="5"/>
        <v>1120000</v>
      </c>
      <c r="AM12" s="40">
        <f t="shared" si="6"/>
        <v>3160000</v>
      </c>
      <c r="AN12" s="40">
        <f t="shared" ref="AN12:AN46" si="14">AM12*AO12</f>
        <v>0</v>
      </c>
      <c r="AO12" s="40"/>
      <c r="AP12" s="10">
        <f t="shared" si="7"/>
        <v>0</v>
      </c>
      <c r="AQ12" s="40">
        <f t="shared" ref="AQ12:AQ16" si="15">AO12*AP12</f>
        <v>0</v>
      </c>
      <c r="AR12" s="40"/>
      <c r="AS12" s="40">
        <v>0</v>
      </c>
      <c r="AT12" s="40" t="s">
        <v>82</v>
      </c>
      <c r="AU12" s="42">
        <f t="shared" ref="AU12:AU14" si="16">SUM(AN12,AQ12,AR12,AS12)</f>
        <v>0</v>
      </c>
      <c r="AV12" s="43" t="str">
        <f t="shared" si="8"/>
        <v>Nur Fajriani Usman, S.S</v>
      </c>
      <c r="AW12" s="55">
        <f t="shared" ref="AW12" si="17">AM12-AU12</f>
        <v>3160000</v>
      </c>
    </row>
    <row r="13" spans="1:49" ht="15" customHeight="1">
      <c r="A13" s="70">
        <v>3</v>
      </c>
      <c r="B13" s="111" t="str">
        <f>'Data Base Guru SD'!B10</f>
        <v>Ade Asmi Pratiwi, SE</v>
      </c>
      <c r="C13" s="111" t="str">
        <f>'Data Base Guru SD'!J10</f>
        <v>Wali Kelas ( Mengaji )</v>
      </c>
      <c r="D13" s="113">
        <f t="shared" si="0"/>
        <v>24</v>
      </c>
      <c r="E13" s="113">
        <v>24</v>
      </c>
      <c r="F13" s="113">
        <f t="shared" si="9"/>
        <v>24</v>
      </c>
      <c r="G13" s="113">
        <v>0</v>
      </c>
      <c r="H13" s="113">
        <f t="shared" si="10"/>
        <v>24</v>
      </c>
      <c r="I13" s="114">
        <v>0</v>
      </c>
      <c r="J13" s="113">
        <v>0</v>
      </c>
      <c r="K13" s="113">
        <f t="shared" si="11"/>
        <v>24</v>
      </c>
      <c r="L13" s="113">
        <v>0</v>
      </c>
      <c r="M13" s="113">
        <v>0</v>
      </c>
      <c r="N13" s="9"/>
      <c r="O13" s="9">
        <v>48</v>
      </c>
      <c r="P13" s="9" t="str">
        <f>'Data Base Guru SD'!R10</f>
        <v>S1</v>
      </c>
      <c r="Q13" s="9" t="str">
        <f ca="1">'Data Base Guru SD'!F10</f>
        <v>9 Tahun 7 Bulan 9 Hari</v>
      </c>
      <c r="R13" s="51">
        <v>9</v>
      </c>
      <c r="S13" s="51" t="str">
        <f>'Data Base Guru SD'!G10</f>
        <v>PT</v>
      </c>
      <c r="T13" s="149">
        <v>2000000</v>
      </c>
      <c r="U13" s="40"/>
      <c r="V13" s="21">
        <f>'Data Base Guru SD'!X10</f>
        <v>0</v>
      </c>
      <c r="W13" s="40">
        <f t="shared" si="12"/>
        <v>0</v>
      </c>
      <c r="X13" s="40">
        <f t="shared" ref="X13:X46" si="18">T13+U13+W13</f>
        <v>2000000</v>
      </c>
      <c r="Y13" s="41"/>
      <c r="Z13" s="41">
        <v>150000</v>
      </c>
      <c r="AA13" s="41">
        <v>100000</v>
      </c>
      <c r="AB13" s="41"/>
      <c r="AC13" s="41"/>
      <c r="AD13" s="41"/>
      <c r="AE13" s="109">
        <f t="shared" si="1"/>
        <v>100000</v>
      </c>
      <c r="AF13" s="41">
        <f t="shared" si="2"/>
        <v>240000</v>
      </c>
      <c r="AG13" s="40">
        <f t="shared" si="3"/>
        <v>120000</v>
      </c>
      <c r="AH13" s="40">
        <f t="shared" si="4"/>
        <v>120000</v>
      </c>
      <c r="AI13" s="40">
        <f t="shared" si="13"/>
        <v>240000</v>
      </c>
      <c r="AJ13" s="40">
        <v>150000</v>
      </c>
      <c r="AK13" s="40">
        <v>0</v>
      </c>
      <c r="AL13" s="40">
        <f t="shared" si="5"/>
        <v>1120000</v>
      </c>
      <c r="AM13" s="40">
        <f t="shared" si="6"/>
        <v>3120000</v>
      </c>
      <c r="AN13" s="40">
        <f t="shared" si="14"/>
        <v>0</v>
      </c>
      <c r="AO13" s="40"/>
      <c r="AP13" s="10">
        <f t="shared" si="7"/>
        <v>0</v>
      </c>
      <c r="AQ13" s="40">
        <f t="shared" ref="AQ13" si="19">AO13*AP13</f>
        <v>0</v>
      </c>
      <c r="AR13" s="40"/>
      <c r="AS13" s="40">
        <v>0</v>
      </c>
      <c r="AT13" s="40" t="s">
        <v>82</v>
      </c>
      <c r="AU13" s="42">
        <f t="shared" ref="AU13" si="20">SUM(AN13,AQ13,AR13,AS13)</f>
        <v>0</v>
      </c>
      <c r="AV13" s="43" t="str">
        <f t="shared" si="8"/>
        <v>Ade Asmi Pratiwi, SE</v>
      </c>
      <c r="AW13" s="55">
        <f t="shared" ref="AW13:AW46" si="21">AM13-AU13</f>
        <v>3120000</v>
      </c>
    </row>
    <row r="14" spans="1:49" s="8" customFormat="1" ht="15" customHeight="1">
      <c r="A14" s="21">
        <v>4</v>
      </c>
      <c r="B14" s="111" t="str">
        <f>'Data Base Guru SD'!B11</f>
        <v>Asrina, S.Pd</v>
      </c>
      <c r="C14" s="111" t="str">
        <f>'Data Base Guru SD'!J11</f>
        <v>Wali Kelas ( Mengaji )</v>
      </c>
      <c r="D14" s="113">
        <f t="shared" si="0"/>
        <v>24</v>
      </c>
      <c r="E14" s="113">
        <v>24</v>
      </c>
      <c r="F14" s="113">
        <f t="shared" si="9"/>
        <v>24</v>
      </c>
      <c r="G14" s="113">
        <v>0</v>
      </c>
      <c r="H14" s="113">
        <f t="shared" si="10"/>
        <v>24</v>
      </c>
      <c r="I14" s="114">
        <v>0</v>
      </c>
      <c r="J14" s="113">
        <v>0</v>
      </c>
      <c r="K14" s="113">
        <f t="shared" si="11"/>
        <v>24</v>
      </c>
      <c r="L14" s="113">
        <v>0</v>
      </c>
      <c r="M14" s="113">
        <v>0</v>
      </c>
      <c r="N14" s="9"/>
      <c r="O14" s="9">
        <v>48</v>
      </c>
      <c r="P14" s="9" t="str">
        <f>'Data Base Guru SD'!R11</f>
        <v>S1</v>
      </c>
      <c r="Q14" s="9" t="str">
        <f ca="1">'Data Base Guru SD'!F11</f>
        <v>9 Tahun 1 Bulan 9 Hari</v>
      </c>
      <c r="R14" s="73">
        <v>9</v>
      </c>
      <c r="S14" s="51" t="str">
        <f>'Data Base Guru SD'!G11</f>
        <v>PT</v>
      </c>
      <c r="T14" s="149">
        <v>2000000</v>
      </c>
      <c r="U14" s="40"/>
      <c r="V14" s="21">
        <f>'Data Base Guru SD'!X11</f>
        <v>2</v>
      </c>
      <c r="W14" s="40">
        <f t="shared" si="12"/>
        <v>40000</v>
      </c>
      <c r="X14" s="40">
        <f t="shared" si="18"/>
        <v>2040000</v>
      </c>
      <c r="Y14" s="41"/>
      <c r="Z14" s="41">
        <v>150000</v>
      </c>
      <c r="AA14" s="41">
        <v>100000</v>
      </c>
      <c r="AB14" s="41"/>
      <c r="AC14" s="41"/>
      <c r="AD14" s="41"/>
      <c r="AE14" s="109">
        <f t="shared" si="1"/>
        <v>100000</v>
      </c>
      <c r="AF14" s="41">
        <f t="shared" si="2"/>
        <v>240000</v>
      </c>
      <c r="AG14" s="40">
        <f t="shared" si="3"/>
        <v>120000</v>
      </c>
      <c r="AH14" s="40">
        <f t="shared" si="4"/>
        <v>120000</v>
      </c>
      <c r="AI14" s="40">
        <f t="shared" si="13"/>
        <v>240000</v>
      </c>
      <c r="AJ14" s="40">
        <v>150000</v>
      </c>
      <c r="AK14" s="40">
        <v>0</v>
      </c>
      <c r="AL14" s="40">
        <f t="shared" si="5"/>
        <v>1120000</v>
      </c>
      <c r="AM14" s="40">
        <f t="shared" si="6"/>
        <v>3160000</v>
      </c>
      <c r="AN14" s="40">
        <f t="shared" si="14"/>
        <v>0</v>
      </c>
      <c r="AO14" s="40"/>
      <c r="AP14" s="10">
        <f t="shared" si="7"/>
        <v>0</v>
      </c>
      <c r="AQ14" s="40">
        <f t="shared" ref="AQ14" si="22">AO14*AP14</f>
        <v>0</v>
      </c>
      <c r="AR14" s="40"/>
      <c r="AS14" s="40">
        <v>0</v>
      </c>
      <c r="AT14" s="40" t="s">
        <v>82</v>
      </c>
      <c r="AU14" s="40">
        <f t="shared" si="16"/>
        <v>0</v>
      </c>
      <c r="AV14" s="43" t="str">
        <f t="shared" si="8"/>
        <v>Asrina, S.Pd</v>
      </c>
      <c r="AW14" s="55">
        <f t="shared" si="21"/>
        <v>3160000</v>
      </c>
    </row>
    <row r="15" spans="1:49" ht="15" customHeight="1">
      <c r="A15" s="70">
        <v>5</v>
      </c>
      <c r="B15" s="111" t="str">
        <f>'Data Base Guru SD'!B12</f>
        <v>Andi Kastiar Latif, S.Pd</v>
      </c>
      <c r="C15" s="111" t="str">
        <f>'Data Base Guru SD'!J12</f>
        <v>Wali Kelas ( Mengaji )</v>
      </c>
      <c r="D15" s="113">
        <f t="shared" si="0"/>
        <v>24</v>
      </c>
      <c r="E15" s="113">
        <v>24</v>
      </c>
      <c r="F15" s="113">
        <f t="shared" si="9"/>
        <v>24</v>
      </c>
      <c r="G15" s="113">
        <v>0</v>
      </c>
      <c r="H15" s="113">
        <f t="shared" si="10"/>
        <v>24</v>
      </c>
      <c r="I15" s="114">
        <v>0</v>
      </c>
      <c r="J15" s="113">
        <v>0</v>
      </c>
      <c r="K15" s="113">
        <f t="shared" si="11"/>
        <v>24</v>
      </c>
      <c r="L15" s="113">
        <v>0</v>
      </c>
      <c r="M15" s="113">
        <v>0</v>
      </c>
      <c r="N15" s="9"/>
      <c r="O15" s="9">
        <v>0</v>
      </c>
      <c r="P15" s="9" t="str">
        <f>'Data Base Guru SD'!R12</f>
        <v>S1</v>
      </c>
      <c r="Q15" s="9" t="str">
        <f ca="1">'Data Base Guru SD'!F12</f>
        <v>9 Tahun 1 Bulan 9 Hari</v>
      </c>
      <c r="R15" s="51">
        <v>9</v>
      </c>
      <c r="S15" s="51" t="str">
        <f>'Data Base Guru SD'!G12</f>
        <v>PT</v>
      </c>
      <c r="T15" s="149">
        <v>2000000</v>
      </c>
      <c r="U15" s="40"/>
      <c r="V15" s="21">
        <f>'Data Base Guru SD'!X12</f>
        <v>2</v>
      </c>
      <c r="W15" s="40">
        <f t="shared" si="12"/>
        <v>40000</v>
      </c>
      <c r="X15" s="40">
        <f t="shared" si="18"/>
        <v>2040000</v>
      </c>
      <c r="Y15" s="41">
        <v>800000</v>
      </c>
      <c r="Z15" s="41">
        <v>150000</v>
      </c>
      <c r="AA15" s="41"/>
      <c r="AB15" s="41"/>
      <c r="AC15" s="41"/>
      <c r="AD15" s="41"/>
      <c r="AE15" s="109">
        <f t="shared" si="1"/>
        <v>0</v>
      </c>
      <c r="AF15" s="41">
        <f t="shared" si="2"/>
        <v>240000</v>
      </c>
      <c r="AG15" s="40">
        <f t="shared" si="3"/>
        <v>120000</v>
      </c>
      <c r="AH15" s="40">
        <f t="shared" si="4"/>
        <v>120000</v>
      </c>
      <c r="AI15" s="40">
        <f t="shared" si="13"/>
        <v>0</v>
      </c>
      <c r="AJ15" s="40">
        <v>150000</v>
      </c>
      <c r="AK15" s="40">
        <v>0</v>
      </c>
      <c r="AL15" s="40">
        <f t="shared" si="5"/>
        <v>1580000</v>
      </c>
      <c r="AM15" s="40">
        <f t="shared" si="6"/>
        <v>3620000</v>
      </c>
      <c r="AN15" s="40">
        <f t="shared" si="14"/>
        <v>0</v>
      </c>
      <c r="AO15" s="40"/>
      <c r="AP15" s="10">
        <f t="shared" si="7"/>
        <v>0</v>
      </c>
      <c r="AQ15" s="40">
        <f t="shared" si="15"/>
        <v>0</v>
      </c>
      <c r="AR15" s="40"/>
      <c r="AS15" s="40">
        <v>0</v>
      </c>
      <c r="AT15" s="40" t="s">
        <v>82</v>
      </c>
      <c r="AU15" s="42">
        <f t="shared" ref="AU15:AU16" si="23">SUM(AN15,AQ15,AR15,AS15)</f>
        <v>0</v>
      </c>
      <c r="AV15" s="43" t="str">
        <f t="shared" si="8"/>
        <v>Andi Kastiar Latif, S.Pd</v>
      </c>
      <c r="AW15" s="55">
        <f t="shared" si="21"/>
        <v>3620000</v>
      </c>
    </row>
    <row r="16" spans="1:49" ht="15" customHeight="1">
      <c r="A16" s="70">
        <v>6</v>
      </c>
      <c r="B16" s="111" t="str">
        <f>'Data Base Guru SD'!B13</f>
        <v>Harmawati. B, S.Pd</v>
      </c>
      <c r="C16" s="111" t="str">
        <f>'Data Base Guru SD'!J13</f>
        <v>Wali Kelas ( Mengaji )</v>
      </c>
      <c r="D16" s="113">
        <f t="shared" si="0"/>
        <v>24</v>
      </c>
      <c r="E16" s="113">
        <v>24</v>
      </c>
      <c r="F16" s="113">
        <f t="shared" si="9"/>
        <v>24</v>
      </c>
      <c r="G16" s="113">
        <v>0</v>
      </c>
      <c r="H16" s="113">
        <f t="shared" si="10"/>
        <v>24</v>
      </c>
      <c r="I16" s="114">
        <v>0</v>
      </c>
      <c r="J16" s="113">
        <v>0</v>
      </c>
      <c r="K16" s="113">
        <f t="shared" si="11"/>
        <v>24</v>
      </c>
      <c r="L16" s="113">
        <v>0</v>
      </c>
      <c r="M16" s="113">
        <v>0</v>
      </c>
      <c r="N16" s="9"/>
      <c r="O16" s="9">
        <v>48</v>
      </c>
      <c r="P16" s="9" t="str">
        <f>'Data Base Guru SD'!R13</f>
        <v>SMA</v>
      </c>
      <c r="Q16" s="9" t="str">
        <f ca="1">'Data Base Guru SD'!F13</f>
        <v>9 Tahun 1 Bulan 9 Hari</v>
      </c>
      <c r="R16" s="51">
        <v>9</v>
      </c>
      <c r="S16" s="51" t="str">
        <f>'Data Base Guru SD'!G13</f>
        <v>PT</v>
      </c>
      <c r="T16" s="149">
        <v>1000000</v>
      </c>
      <c r="U16" s="40"/>
      <c r="V16" s="21">
        <f>'Data Base Guru SD'!X13</f>
        <v>3</v>
      </c>
      <c r="W16" s="40">
        <f t="shared" si="12"/>
        <v>60000</v>
      </c>
      <c r="X16" s="40">
        <f t="shared" si="18"/>
        <v>1060000</v>
      </c>
      <c r="Y16" s="41"/>
      <c r="Z16" s="41">
        <v>150000</v>
      </c>
      <c r="AA16" s="41">
        <v>100000</v>
      </c>
      <c r="AB16" s="41"/>
      <c r="AC16" s="41"/>
      <c r="AD16" s="41"/>
      <c r="AE16" s="109">
        <f t="shared" si="1"/>
        <v>100000</v>
      </c>
      <c r="AF16" s="41">
        <f t="shared" si="2"/>
        <v>240000</v>
      </c>
      <c r="AG16" s="40">
        <f t="shared" si="3"/>
        <v>120000</v>
      </c>
      <c r="AH16" s="40">
        <f t="shared" si="4"/>
        <v>120000</v>
      </c>
      <c r="AI16" s="40">
        <f t="shared" si="13"/>
        <v>240000</v>
      </c>
      <c r="AJ16" s="40">
        <v>150000</v>
      </c>
      <c r="AK16" s="40">
        <v>0</v>
      </c>
      <c r="AL16" s="40">
        <f t="shared" si="5"/>
        <v>1120000</v>
      </c>
      <c r="AM16" s="40">
        <f t="shared" si="6"/>
        <v>2180000</v>
      </c>
      <c r="AN16" s="40">
        <f t="shared" si="14"/>
        <v>0</v>
      </c>
      <c r="AO16" s="40"/>
      <c r="AP16" s="10">
        <f t="shared" si="7"/>
        <v>0</v>
      </c>
      <c r="AQ16" s="40">
        <f t="shared" si="15"/>
        <v>0</v>
      </c>
      <c r="AR16" s="40"/>
      <c r="AS16" s="40">
        <v>0</v>
      </c>
      <c r="AT16" s="40" t="s">
        <v>82</v>
      </c>
      <c r="AU16" s="42">
        <f t="shared" si="23"/>
        <v>0</v>
      </c>
      <c r="AV16" s="43" t="str">
        <f t="shared" si="8"/>
        <v>Harmawati. B, S.Pd</v>
      </c>
      <c r="AW16" s="55">
        <f t="shared" si="21"/>
        <v>2180000</v>
      </c>
    </row>
    <row r="17" spans="1:49" ht="15" customHeight="1">
      <c r="A17" s="70">
        <v>7</v>
      </c>
      <c r="B17" s="111" t="str">
        <f>'Data Base Guru SD'!B14</f>
        <v>Nurazizah,S.Pd</v>
      </c>
      <c r="C17" s="111" t="str">
        <f>'Data Base Guru SD'!J14</f>
        <v>Mengaji</v>
      </c>
      <c r="D17" s="113">
        <f t="shared" si="0"/>
        <v>24</v>
      </c>
      <c r="E17" s="113">
        <v>24</v>
      </c>
      <c r="F17" s="113">
        <f t="shared" si="9"/>
        <v>24</v>
      </c>
      <c r="G17" s="113">
        <v>0</v>
      </c>
      <c r="H17" s="113">
        <f t="shared" si="10"/>
        <v>24</v>
      </c>
      <c r="I17" s="114">
        <v>0</v>
      </c>
      <c r="J17" s="113">
        <v>0</v>
      </c>
      <c r="K17" s="113">
        <f t="shared" si="11"/>
        <v>24</v>
      </c>
      <c r="L17" s="113">
        <v>0</v>
      </c>
      <c r="M17" s="113">
        <v>0</v>
      </c>
      <c r="N17" s="9"/>
      <c r="O17" s="9">
        <v>40</v>
      </c>
      <c r="P17" s="9" t="str">
        <f>'Data Base Guru SD'!R14</f>
        <v>S1</v>
      </c>
      <c r="Q17" s="9" t="str">
        <f ca="1">'Data Base Guru SD'!F14</f>
        <v>9 Tahun 7 Bulan 9 Hari</v>
      </c>
      <c r="R17" s="51">
        <v>9</v>
      </c>
      <c r="S17" s="51" t="str">
        <f>'Data Base Guru SD'!G14</f>
        <v>PT</v>
      </c>
      <c r="T17" s="149">
        <v>2000000</v>
      </c>
      <c r="U17" s="40"/>
      <c r="V17" s="21">
        <f>'Data Base Guru SD'!X14</f>
        <v>0</v>
      </c>
      <c r="W17" s="40">
        <f t="shared" si="12"/>
        <v>0</v>
      </c>
      <c r="X17" s="40">
        <f t="shared" si="18"/>
        <v>2000000</v>
      </c>
      <c r="Y17" s="41"/>
      <c r="Z17" s="41">
        <v>150000</v>
      </c>
      <c r="AA17" s="41"/>
      <c r="AB17" s="41"/>
      <c r="AC17" s="41"/>
      <c r="AD17" s="41"/>
      <c r="AE17" s="109">
        <f t="shared" si="1"/>
        <v>0</v>
      </c>
      <c r="AF17" s="41">
        <f t="shared" si="2"/>
        <v>240000</v>
      </c>
      <c r="AG17" s="40">
        <f t="shared" si="3"/>
        <v>120000</v>
      </c>
      <c r="AH17" s="40">
        <f t="shared" si="4"/>
        <v>120000</v>
      </c>
      <c r="AI17" s="40">
        <f t="shared" si="13"/>
        <v>200000</v>
      </c>
      <c r="AJ17" s="40">
        <v>150000</v>
      </c>
      <c r="AK17" s="40">
        <v>0</v>
      </c>
      <c r="AL17" s="40">
        <f t="shared" si="5"/>
        <v>980000</v>
      </c>
      <c r="AM17" s="40">
        <f t="shared" si="6"/>
        <v>2980000</v>
      </c>
      <c r="AN17" s="40">
        <f t="shared" si="14"/>
        <v>0</v>
      </c>
      <c r="AO17" s="40"/>
      <c r="AP17" s="10">
        <f t="shared" si="7"/>
        <v>0</v>
      </c>
      <c r="AQ17" s="40">
        <f t="shared" ref="AQ17:AQ26" si="24">AO17*AP17</f>
        <v>0</v>
      </c>
      <c r="AR17" s="40"/>
      <c r="AS17" s="40">
        <v>0</v>
      </c>
      <c r="AT17" s="40" t="s">
        <v>82</v>
      </c>
      <c r="AU17" s="42">
        <f t="shared" ref="AU17:AU46" si="25">SUM(AN17,AQ17,AR17,AS17)</f>
        <v>0</v>
      </c>
      <c r="AV17" s="43" t="str">
        <f t="shared" si="8"/>
        <v>Nurazizah,S.Pd</v>
      </c>
      <c r="AW17" s="55">
        <f t="shared" si="21"/>
        <v>2980000</v>
      </c>
    </row>
    <row r="18" spans="1:49" ht="15" customHeight="1">
      <c r="A18" s="70">
        <v>8</v>
      </c>
      <c r="B18" s="111" t="str">
        <f>'Data Base Guru SD'!B15</f>
        <v>Sri Rahayu, S.Pd</v>
      </c>
      <c r="C18" s="111" t="str">
        <f>'Data Base Guru SD'!J15</f>
        <v>Mapel (Mengaji )</v>
      </c>
      <c r="D18" s="113">
        <f t="shared" si="0"/>
        <v>24</v>
      </c>
      <c r="E18" s="113">
        <v>24</v>
      </c>
      <c r="F18" s="113">
        <f t="shared" si="9"/>
        <v>24</v>
      </c>
      <c r="G18" s="113">
        <v>0</v>
      </c>
      <c r="H18" s="113">
        <f t="shared" si="10"/>
        <v>24</v>
      </c>
      <c r="I18" s="114">
        <v>0</v>
      </c>
      <c r="J18" s="113">
        <v>0</v>
      </c>
      <c r="K18" s="113">
        <f t="shared" si="11"/>
        <v>24</v>
      </c>
      <c r="L18" s="113">
        <v>0</v>
      </c>
      <c r="M18" s="113">
        <v>0</v>
      </c>
      <c r="N18" s="9"/>
      <c r="O18" s="9">
        <v>56</v>
      </c>
      <c r="P18" s="9" t="str">
        <f>'Data Base Guru SD'!R15</f>
        <v>S1</v>
      </c>
      <c r="Q18" s="9" t="str">
        <f ca="1">'Data Base Guru SD'!F15</f>
        <v>8 Tahun 6 Bulan 9 Hari</v>
      </c>
      <c r="R18" s="51">
        <v>8</v>
      </c>
      <c r="S18" s="51" t="str">
        <f>'Data Base Guru SD'!G15</f>
        <v>PT</v>
      </c>
      <c r="T18" s="150">
        <v>1950000</v>
      </c>
      <c r="U18" s="40"/>
      <c r="V18" s="21">
        <f>'Data Base Guru SD'!X15</f>
        <v>0</v>
      </c>
      <c r="W18" s="40">
        <f t="shared" si="12"/>
        <v>0</v>
      </c>
      <c r="X18" s="40">
        <f t="shared" si="18"/>
        <v>1950000</v>
      </c>
      <c r="Y18" s="41"/>
      <c r="Z18" s="41">
        <v>150000</v>
      </c>
      <c r="AA18" s="49"/>
      <c r="AB18" s="49"/>
      <c r="AC18" s="41"/>
      <c r="AD18" s="49"/>
      <c r="AE18" s="109">
        <f t="shared" si="1"/>
        <v>0</v>
      </c>
      <c r="AF18" s="41">
        <f t="shared" si="2"/>
        <v>240000</v>
      </c>
      <c r="AG18" s="40">
        <f t="shared" si="3"/>
        <v>120000</v>
      </c>
      <c r="AH18" s="40">
        <f t="shared" si="4"/>
        <v>120000</v>
      </c>
      <c r="AI18" s="40">
        <f t="shared" si="13"/>
        <v>280000</v>
      </c>
      <c r="AJ18" s="40">
        <v>150000</v>
      </c>
      <c r="AK18" s="40">
        <v>0</v>
      </c>
      <c r="AL18" s="40">
        <f t="shared" si="5"/>
        <v>1060000</v>
      </c>
      <c r="AM18" s="40">
        <f t="shared" si="6"/>
        <v>3010000</v>
      </c>
      <c r="AN18" s="40">
        <f t="shared" si="14"/>
        <v>0</v>
      </c>
      <c r="AO18" s="40"/>
      <c r="AP18" s="10">
        <f t="shared" si="7"/>
        <v>0</v>
      </c>
      <c r="AQ18" s="40">
        <f t="shared" si="24"/>
        <v>0</v>
      </c>
      <c r="AR18" s="40"/>
      <c r="AS18" s="40">
        <v>0</v>
      </c>
      <c r="AT18" s="40" t="s">
        <v>82</v>
      </c>
      <c r="AU18" s="42">
        <f t="shared" si="25"/>
        <v>0</v>
      </c>
      <c r="AV18" s="43" t="str">
        <f t="shared" si="8"/>
        <v>Sri Rahayu, S.Pd</v>
      </c>
      <c r="AW18" s="55">
        <f t="shared" si="21"/>
        <v>3010000</v>
      </c>
    </row>
    <row r="19" spans="1:49" ht="15" customHeight="1">
      <c r="A19" s="70">
        <v>9</v>
      </c>
      <c r="B19" s="111" t="str">
        <f>'Data Base Guru SD'!B16</f>
        <v>Susilawati, S.Pd</v>
      </c>
      <c r="C19" s="111" t="str">
        <f>'Data Base Guru SD'!J16</f>
        <v>Mapel (Mengaji )</v>
      </c>
      <c r="D19" s="113">
        <f t="shared" si="0"/>
        <v>24</v>
      </c>
      <c r="E19" s="113">
        <v>24</v>
      </c>
      <c r="F19" s="113">
        <f t="shared" si="9"/>
        <v>24</v>
      </c>
      <c r="G19" s="113">
        <v>0</v>
      </c>
      <c r="H19" s="113">
        <f t="shared" si="10"/>
        <v>24</v>
      </c>
      <c r="I19" s="114">
        <v>0</v>
      </c>
      <c r="J19" s="113">
        <v>0</v>
      </c>
      <c r="K19" s="113">
        <f t="shared" si="11"/>
        <v>24</v>
      </c>
      <c r="L19" s="113">
        <v>0</v>
      </c>
      <c r="M19" s="113">
        <v>0</v>
      </c>
      <c r="N19" s="9"/>
      <c r="O19" s="9">
        <v>40</v>
      </c>
      <c r="P19" s="9" t="str">
        <f>'Data Base Guru SD'!R16</f>
        <v>S1</v>
      </c>
      <c r="Q19" s="9" t="str">
        <f ca="1">'Data Base Guru SD'!F16</f>
        <v>8 Tahun 5 Bulan 9 Hari</v>
      </c>
      <c r="R19" s="51">
        <v>8</v>
      </c>
      <c r="S19" s="51" t="str">
        <f>'Data Base Guru SD'!G16</f>
        <v>PT</v>
      </c>
      <c r="T19" s="150">
        <v>1950000</v>
      </c>
      <c r="U19" s="40"/>
      <c r="V19" s="21">
        <f>'Data Base Guru SD'!X16</f>
        <v>3</v>
      </c>
      <c r="W19" s="40">
        <f t="shared" si="12"/>
        <v>60000</v>
      </c>
      <c r="X19" s="40">
        <f t="shared" si="18"/>
        <v>2010000</v>
      </c>
      <c r="Y19" s="41"/>
      <c r="Z19" s="41">
        <v>150000</v>
      </c>
      <c r="AA19" s="41"/>
      <c r="AB19" s="41"/>
      <c r="AC19" s="41"/>
      <c r="AD19" s="41"/>
      <c r="AE19" s="109">
        <f t="shared" si="1"/>
        <v>0</v>
      </c>
      <c r="AF19" s="41">
        <f t="shared" si="2"/>
        <v>240000</v>
      </c>
      <c r="AG19" s="40">
        <f t="shared" si="3"/>
        <v>120000</v>
      </c>
      <c r="AH19" s="40">
        <f t="shared" si="4"/>
        <v>120000</v>
      </c>
      <c r="AI19" s="40">
        <f t="shared" si="13"/>
        <v>200000</v>
      </c>
      <c r="AJ19" s="40">
        <v>150000</v>
      </c>
      <c r="AK19" s="40">
        <v>0</v>
      </c>
      <c r="AL19" s="40">
        <f t="shared" si="5"/>
        <v>980000</v>
      </c>
      <c r="AM19" s="40">
        <f t="shared" si="6"/>
        <v>2990000</v>
      </c>
      <c r="AN19" s="40">
        <f t="shared" si="14"/>
        <v>0</v>
      </c>
      <c r="AO19" s="40"/>
      <c r="AP19" s="10">
        <f t="shared" si="7"/>
        <v>0</v>
      </c>
      <c r="AQ19" s="40">
        <f t="shared" si="24"/>
        <v>0</v>
      </c>
      <c r="AR19" s="40"/>
      <c r="AS19" s="40">
        <v>0</v>
      </c>
      <c r="AT19" s="40" t="s">
        <v>82</v>
      </c>
      <c r="AU19" s="42">
        <f t="shared" si="25"/>
        <v>0</v>
      </c>
      <c r="AV19" s="43" t="str">
        <f t="shared" si="8"/>
        <v>Susilawati, S.Pd</v>
      </c>
      <c r="AW19" s="55">
        <f t="shared" si="21"/>
        <v>2990000</v>
      </c>
    </row>
    <row r="20" spans="1:49" ht="15" customHeight="1">
      <c r="A20" s="70">
        <v>10</v>
      </c>
      <c r="B20" s="111" t="str">
        <f>'Data Base Guru SD'!B17</f>
        <v>Rismawati, S.Pd</v>
      </c>
      <c r="C20" s="111" t="str">
        <f>'Data Base Guru SD'!J17</f>
        <v>Wali Kelas ( Mengaji )</v>
      </c>
      <c r="D20" s="113">
        <f t="shared" si="0"/>
        <v>24</v>
      </c>
      <c r="E20" s="113">
        <v>24</v>
      </c>
      <c r="F20" s="113">
        <f t="shared" si="9"/>
        <v>24</v>
      </c>
      <c r="G20" s="113">
        <v>0</v>
      </c>
      <c r="H20" s="113">
        <f t="shared" si="10"/>
        <v>24</v>
      </c>
      <c r="I20" s="114">
        <v>0</v>
      </c>
      <c r="J20" s="113">
        <v>0</v>
      </c>
      <c r="K20" s="113">
        <f t="shared" si="11"/>
        <v>24</v>
      </c>
      <c r="L20" s="113">
        <v>0</v>
      </c>
      <c r="M20" s="113">
        <v>0</v>
      </c>
      <c r="N20" s="9"/>
      <c r="O20" s="9">
        <v>48</v>
      </c>
      <c r="P20" s="9" t="str">
        <f>'Data Base Guru SD'!R17</f>
        <v>S1</v>
      </c>
      <c r="Q20" s="9" t="str">
        <f ca="1">'Data Base Guru SD'!F17</f>
        <v>8 Tahun 1 Bulan 9 Hari</v>
      </c>
      <c r="R20" s="51">
        <v>8</v>
      </c>
      <c r="S20" s="51" t="str">
        <f>'Data Base Guru SD'!G17</f>
        <v>PT</v>
      </c>
      <c r="T20" s="150">
        <v>1950000</v>
      </c>
      <c r="U20" s="40"/>
      <c r="V20" s="21">
        <f>'Data Base Guru SD'!X17</f>
        <v>0</v>
      </c>
      <c r="W20" s="40">
        <f t="shared" si="12"/>
        <v>0</v>
      </c>
      <c r="X20" s="40">
        <f t="shared" si="18"/>
        <v>1950000</v>
      </c>
      <c r="Y20" s="41"/>
      <c r="Z20" s="41">
        <v>150000</v>
      </c>
      <c r="AA20" s="41">
        <v>100000</v>
      </c>
      <c r="AB20" s="41"/>
      <c r="AC20" s="41"/>
      <c r="AD20" s="41"/>
      <c r="AE20" s="109">
        <f t="shared" si="1"/>
        <v>100000</v>
      </c>
      <c r="AF20" s="41">
        <f t="shared" si="2"/>
        <v>240000</v>
      </c>
      <c r="AG20" s="40">
        <f t="shared" si="3"/>
        <v>120000</v>
      </c>
      <c r="AH20" s="40">
        <f t="shared" si="4"/>
        <v>120000</v>
      </c>
      <c r="AI20" s="40">
        <f t="shared" si="13"/>
        <v>240000</v>
      </c>
      <c r="AJ20" s="40">
        <v>150000</v>
      </c>
      <c r="AK20" s="40">
        <v>0</v>
      </c>
      <c r="AL20" s="40">
        <f t="shared" si="5"/>
        <v>1120000</v>
      </c>
      <c r="AM20" s="40">
        <f t="shared" si="6"/>
        <v>3070000</v>
      </c>
      <c r="AN20" s="40">
        <f t="shared" si="14"/>
        <v>0</v>
      </c>
      <c r="AO20" s="40"/>
      <c r="AP20" s="10">
        <f t="shared" si="7"/>
        <v>0</v>
      </c>
      <c r="AQ20" s="40">
        <f t="shared" si="24"/>
        <v>0</v>
      </c>
      <c r="AR20" s="40"/>
      <c r="AS20" s="40">
        <v>0</v>
      </c>
      <c r="AT20" s="40" t="s">
        <v>82</v>
      </c>
      <c r="AU20" s="42">
        <f t="shared" si="25"/>
        <v>0</v>
      </c>
      <c r="AV20" s="43" t="str">
        <f t="shared" si="8"/>
        <v>Rismawati, S.Pd</v>
      </c>
      <c r="AW20" s="55">
        <f t="shared" si="21"/>
        <v>3070000</v>
      </c>
    </row>
    <row r="21" spans="1:49" ht="15" customHeight="1">
      <c r="A21" s="70">
        <v>11</v>
      </c>
      <c r="B21" s="111" t="str">
        <f>'Data Base Guru SD'!B18</f>
        <v>Ertika, S.Pd</v>
      </c>
      <c r="C21" s="111" t="str">
        <f>'Data Base Guru SD'!J18</f>
        <v>Wali Kelas ( Mengaji )</v>
      </c>
      <c r="D21" s="113">
        <f t="shared" si="0"/>
        <v>24</v>
      </c>
      <c r="E21" s="113">
        <v>24</v>
      </c>
      <c r="F21" s="113">
        <f t="shared" si="9"/>
        <v>24</v>
      </c>
      <c r="G21" s="113">
        <v>0</v>
      </c>
      <c r="H21" s="113">
        <f t="shared" si="10"/>
        <v>24</v>
      </c>
      <c r="I21" s="114">
        <v>0</v>
      </c>
      <c r="J21" s="113">
        <v>0</v>
      </c>
      <c r="K21" s="113">
        <f t="shared" si="11"/>
        <v>24</v>
      </c>
      <c r="L21" s="113">
        <v>0</v>
      </c>
      <c r="M21" s="113">
        <v>0</v>
      </c>
      <c r="N21" s="9"/>
      <c r="O21" s="9">
        <v>48</v>
      </c>
      <c r="P21" s="9" t="str">
        <f>'Data Base Guru SD'!R18</f>
        <v>S1</v>
      </c>
      <c r="Q21" s="9" t="str">
        <f ca="1">'Data Base Guru SD'!F18</f>
        <v>8 Tahun 7 Bulan 9 Hari</v>
      </c>
      <c r="R21" s="51">
        <v>8</v>
      </c>
      <c r="S21" s="51" t="str">
        <f>'Data Base Guru SD'!G18</f>
        <v>PT</v>
      </c>
      <c r="T21" s="150">
        <v>1950000</v>
      </c>
      <c r="U21" s="40"/>
      <c r="V21" s="21">
        <f>'Data Base Guru SD'!X18</f>
        <v>2</v>
      </c>
      <c r="W21" s="40">
        <f t="shared" si="12"/>
        <v>40000</v>
      </c>
      <c r="X21" s="40">
        <f t="shared" si="18"/>
        <v>1990000</v>
      </c>
      <c r="Y21" s="41"/>
      <c r="Z21" s="41"/>
      <c r="AA21" s="41">
        <v>100000</v>
      </c>
      <c r="AB21" s="41"/>
      <c r="AC21" s="41"/>
      <c r="AD21" s="41"/>
      <c r="AE21" s="109">
        <f t="shared" si="1"/>
        <v>100000</v>
      </c>
      <c r="AF21" s="41">
        <f t="shared" si="2"/>
        <v>240000</v>
      </c>
      <c r="AG21" s="40">
        <f t="shared" si="3"/>
        <v>120000</v>
      </c>
      <c r="AH21" s="40">
        <f t="shared" si="4"/>
        <v>120000</v>
      </c>
      <c r="AI21" s="40">
        <f t="shared" si="13"/>
        <v>240000</v>
      </c>
      <c r="AJ21" s="40">
        <v>150000</v>
      </c>
      <c r="AK21" s="40">
        <v>0</v>
      </c>
      <c r="AL21" s="40">
        <f t="shared" si="5"/>
        <v>970000</v>
      </c>
      <c r="AM21" s="40">
        <f t="shared" si="6"/>
        <v>2960000</v>
      </c>
      <c r="AN21" s="40">
        <f t="shared" si="14"/>
        <v>0</v>
      </c>
      <c r="AO21" s="40"/>
      <c r="AP21" s="10">
        <f t="shared" si="7"/>
        <v>0</v>
      </c>
      <c r="AQ21" s="40">
        <f t="shared" si="24"/>
        <v>0</v>
      </c>
      <c r="AR21" s="40"/>
      <c r="AS21" s="40">
        <v>0</v>
      </c>
      <c r="AT21" s="40" t="s">
        <v>82</v>
      </c>
      <c r="AU21" s="42">
        <f t="shared" si="25"/>
        <v>0</v>
      </c>
      <c r="AV21" s="43" t="str">
        <f t="shared" si="8"/>
        <v>Ertika, S.Pd</v>
      </c>
      <c r="AW21" s="55">
        <f t="shared" si="21"/>
        <v>2960000</v>
      </c>
    </row>
    <row r="22" spans="1:49" ht="15" customHeight="1">
      <c r="A22" s="70">
        <v>12</v>
      </c>
      <c r="B22" s="111" t="str">
        <f>'Data Base Guru SD'!B19</f>
        <v>Kurniati, A.MA, Pd. OR</v>
      </c>
      <c r="C22" s="111" t="str">
        <f>'Data Base Guru SD'!J19</f>
        <v xml:space="preserve">Mapel </v>
      </c>
      <c r="D22" s="113">
        <f t="shared" si="0"/>
        <v>24</v>
      </c>
      <c r="E22" s="113">
        <v>24</v>
      </c>
      <c r="F22" s="113">
        <f t="shared" si="9"/>
        <v>24</v>
      </c>
      <c r="G22" s="113">
        <v>0</v>
      </c>
      <c r="H22" s="113">
        <f t="shared" si="10"/>
        <v>24</v>
      </c>
      <c r="I22" s="114">
        <v>0</v>
      </c>
      <c r="J22" s="113">
        <v>0</v>
      </c>
      <c r="K22" s="113">
        <f t="shared" si="11"/>
        <v>24</v>
      </c>
      <c r="L22" s="113">
        <v>0</v>
      </c>
      <c r="M22" s="113">
        <v>0</v>
      </c>
      <c r="N22" s="9"/>
      <c r="O22" s="9">
        <v>56</v>
      </c>
      <c r="P22" s="9" t="str">
        <f>'Data Base Guru SD'!R19</f>
        <v>S1</v>
      </c>
      <c r="Q22" s="9" t="str">
        <f ca="1">'Data Base Guru SD'!F19</f>
        <v>7 Tahun 10 Bulan 9 Hari</v>
      </c>
      <c r="R22" s="51">
        <v>7</v>
      </c>
      <c r="S22" s="51" t="str">
        <f>'Data Base Guru SD'!G19</f>
        <v>PT</v>
      </c>
      <c r="T22" s="151">
        <v>1950000</v>
      </c>
      <c r="U22" s="40"/>
      <c r="V22" s="21">
        <f>'Data Base Guru SD'!X19</f>
        <v>0</v>
      </c>
      <c r="W22" s="40">
        <f t="shared" si="12"/>
        <v>0</v>
      </c>
      <c r="X22" s="40">
        <f t="shared" si="18"/>
        <v>1950000</v>
      </c>
      <c r="Y22" s="41"/>
      <c r="Z22" s="41">
        <v>150000</v>
      </c>
      <c r="AA22" s="41"/>
      <c r="AB22" s="41"/>
      <c r="AC22" s="41"/>
      <c r="AD22" s="41"/>
      <c r="AE22" s="109">
        <f t="shared" si="1"/>
        <v>0</v>
      </c>
      <c r="AF22" s="41">
        <f t="shared" si="2"/>
        <v>240000</v>
      </c>
      <c r="AG22" s="40">
        <f t="shared" si="3"/>
        <v>120000</v>
      </c>
      <c r="AH22" s="40">
        <f t="shared" si="4"/>
        <v>120000</v>
      </c>
      <c r="AI22" s="40">
        <f t="shared" si="13"/>
        <v>280000</v>
      </c>
      <c r="AJ22" s="40">
        <v>150000</v>
      </c>
      <c r="AK22" s="40">
        <v>0</v>
      </c>
      <c r="AL22" s="40">
        <f t="shared" si="5"/>
        <v>1060000</v>
      </c>
      <c r="AM22" s="40">
        <f t="shared" si="6"/>
        <v>3010000</v>
      </c>
      <c r="AN22" s="40">
        <f t="shared" si="14"/>
        <v>0</v>
      </c>
      <c r="AO22" s="40"/>
      <c r="AP22" s="10">
        <f t="shared" si="7"/>
        <v>0</v>
      </c>
      <c r="AQ22" s="40">
        <f t="shared" si="24"/>
        <v>0</v>
      </c>
      <c r="AR22" s="40"/>
      <c r="AS22" s="40">
        <v>0</v>
      </c>
      <c r="AT22" s="40" t="s">
        <v>82</v>
      </c>
      <c r="AU22" s="42">
        <f t="shared" si="25"/>
        <v>0</v>
      </c>
      <c r="AV22" s="43" t="str">
        <f t="shared" si="8"/>
        <v>Kurniati, A.MA, Pd. OR</v>
      </c>
      <c r="AW22" s="55">
        <f t="shared" si="21"/>
        <v>3010000</v>
      </c>
    </row>
    <row r="23" spans="1:49" ht="15" customHeight="1">
      <c r="A23" s="70">
        <v>13</v>
      </c>
      <c r="B23" s="111" t="str">
        <f>'Data Base Guru SD'!B20</f>
        <v>Uppi Erniati H, S.Pd</v>
      </c>
      <c r="C23" s="111" t="str">
        <f>'Data Base Guru SD'!J20</f>
        <v xml:space="preserve">Wali Kelas </v>
      </c>
      <c r="D23" s="113">
        <f t="shared" si="0"/>
        <v>24</v>
      </c>
      <c r="E23" s="113">
        <v>24</v>
      </c>
      <c r="F23" s="113">
        <f t="shared" si="9"/>
        <v>24</v>
      </c>
      <c r="G23" s="113">
        <v>0</v>
      </c>
      <c r="H23" s="113">
        <f t="shared" si="10"/>
        <v>24</v>
      </c>
      <c r="I23" s="114">
        <v>0</v>
      </c>
      <c r="J23" s="113">
        <v>0</v>
      </c>
      <c r="K23" s="113">
        <f t="shared" si="11"/>
        <v>24</v>
      </c>
      <c r="L23" s="113">
        <v>0</v>
      </c>
      <c r="M23" s="113">
        <v>0</v>
      </c>
      <c r="N23" s="9"/>
      <c r="O23" s="9">
        <v>0</v>
      </c>
      <c r="P23" s="9" t="str">
        <f>'Data Base Guru SD'!R20</f>
        <v>S1</v>
      </c>
      <c r="Q23" s="9" t="str">
        <f ca="1">'Data Base Guru SD'!F20</f>
        <v>7 Tahun 7 Bulan 9 Hari</v>
      </c>
      <c r="R23" s="51">
        <v>7</v>
      </c>
      <c r="S23" s="51" t="str">
        <f>'Data Base Guru SD'!G20</f>
        <v>PT</v>
      </c>
      <c r="T23" s="152">
        <v>1950000</v>
      </c>
      <c r="U23" s="40"/>
      <c r="V23" s="21">
        <f>'Data Base Guru SD'!X20</f>
        <v>3</v>
      </c>
      <c r="W23" s="40">
        <f t="shared" si="12"/>
        <v>60000</v>
      </c>
      <c r="X23" s="40">
        <f t="shared" si="18"/>
        <v>2010000</v>
      </c>
      <c r="Y23" s="41"/>
      <c r="Z23" s="41">
        <v>150000</v>
      </c>
      <c r="AA23" s="41">
        <v>100000</v>
      </c>
      <c r="AB23" s="41"/>
      <c r="AC23" s="41"/>
      <c r="AD23" s="41"/>
      <c r="AE23" s="109">
        <f t="shared" si="1"/>
        <v>100000</v>
      </c>
      <c r="AF23" s="41">
        <f t="shared" si="2"/>
        <v>240000</v>
      </c>
      <c r="AG23" s="40">
        <f t="shared" si="3"/>
        <v>120000</v>
      </c>
      <c r="AH23" s="40">
        <f t="shared" si="4"/>
        <v>120000</v>
      </c>
      <c r="AI23" s="40">
        <f t="shared" si="13"/>
        <v>0</v>
      </c>
      <c r="AJ23" s="40">
        <v>150000</v>
      </c>
      <c r="AK23" s="40">
        <v>0</v>
      </c>
      <c r="AL23" s="40">
        <f t="shared" si="5"/>
        <v>880000</v>
      </c>
      <c r="AM23" s="40">
        <f t="shared" si="6"/>
        <v>2890000</v>
      </c>
      <c r="AN23" s="40">
        <f t="shared" si="14"/>
        <v>0</v>
      </c>
      <c r="AO23" s="40"/>
      <c r="AP23" s="10">
        <f t="shared" si="7"/>
        <v>0</v>
      </c>
      <c r="AQ23" s="40">
        <f t="shared" si="24"/>
        <v>0</v>
      </c>
      <c r="AR23" s="40"/>
      <c r="AS23" s="40">
        <v>0</v>
      </c>
      <c r="AT23" s="40" t="s">
        <v>82</v>
      </c>
      <c r="AU23" s="42">
        <f t="shared" si="25"/>
        <v>0</v>
      </c>
      <c r="AV23" s="43" t="str">
        <f t="shared" si="8"/>
        <v>Uppi Erniati H, S.Pd</v>
      </c>
      <c r="AW23" s="55">
        <f t="shared" si="21"/>
        <v>2890000</v>
      </c>
    </row>
    <row r="24" spans="1:49" ht="15" customHeight="1">
      <c r="A24" s="70">
        <v>14</v>
      </c>
      <c r="B24" s="111" t="str">
        <f>'Data Base Guru SD'!B21</f>
        <v>Dian Ekaviyanti Rusydi,SP</v>
      </c>
      <c r="C24" s="111" t="str">
        <f>'Data Base Guru SD'!J21</f>
        <v>Wali Kelas ( Mengaji )</v>
      </c>
      <c r="D24" s="113">
        <f t="shared" si="0"/>
        <v>24</v>
      </c>
      <c r="E24" s="113">
        <v>24</v>
      </c>
      <c r="F24" s="113">
        <f t="shared" si="9"/>
        <v>24</v>
      </c>
      <c r="G24" s="113">
        <v>0</v>
      </c>
      <c r="H24" s="113">
        <f t="shared" si="10"/>
        <v>24</v>
      </c>
      <c r="I24" s="114">
        <v>0</v>
      </c>
      <c r="J24" s="113">
        <v>0</v>
      </c>
      <c r="K24" s="113">
        <f t="shared" si="11"/>
        <v>24</v>
      </c>
      <c r="L24" s="113">
        <v>0</v>
      </c>
      <c r="M24" s="113">
        <v>0</v>
      </c>
      <c r="N24" s="9"/>
      <c r="O24" s="9">
        <v>48</v>
      </c>
      <c r="P24" s="9" t="str">
        <f>'Data Base Guru SD'!R21</f>
        <v>S1</v>
      </c>
      <c r="Q24" s="9" t="str">
        <f ca="1">'Data Base Guru SD'!F21</f>
        <v>7 Tahun 1 Bulan 9 Hari</v>
      </c>
      <c r="R24" s="51">
        <v>7</v>
      </c>
      <c r="S24" s="51" t="str">
        <f>'Data Base Guru SD'!G21</f>
        <v>PT</v>
      </c>
      <c r="T24" s="152">
        <v>1950000</v>
      </c>
      <c r="U24" s="40"/>
      <c r="V24" s="21">
        <f>'Data Base Guru SD'!X21</f>
        <v>4</v>
      </c>
      <c r="W24" s="40">
        <f t="shared" si="12"/>
        <v>80000</v>
      </c>
      <c r="X24" s="40">
        <f t="shared" si="18"/>
        <v>2030000</v>
      </c>
      <c r="Y24" s="41">
        <v>400000</v>
      </c>
      <c r="Z24" s="41">
        <v>150000</v>
      </c>
      <c r="AA24" s="41">
        <v>100000</v>
      </c>
      <c r="AB24" s="41"/>
      <c r="AC24" s="41"/>
      <c r="AD24" s="41"/>
      <c r="AE24" s="109">
        <f t="shared" si="1"/>
        <v>100000</v>
      </c>
      <c r="AF24" s="41">
        <f t="shared" si="2"/>
        <v>240000</v>
      </c>
      <c r="AG24" s="40">
        <f t="shared" si="3"/>
        <v>120000</v>
      </c>
      <c r="AH24" s="40">
        <f t="shared" si="4"/>
        <v>120000</v>
      </c>
      <c r="AI24" s="40">
        <f t="shared" si="13"/>
        <v>240000</v>
      </c>
      <c r="AJ24" s="40">
        <v>150000</v>
      </c>
      <c r="AK24" s="40">
        <v>0</v>
      </c>
      <c r="AL24" s="40">
        <f t="shared" si="5"/>
        <v>1520000</v>
      </c>
      <c r="AM24" s="40">
        <f t="shared" si="6"/>
        <v>3550000</v>
      </c>
      <c r="AN24" s="40">
        <f t="shared" si="14"/>
        <v>0</v>
      </c>
      <c r="AO24" s="40"/>
      <c r="AP24" s="10">
        <f t="shared" si="7"/>
        <v>0</v>
      </c>
      <c r="AQ24" s="40">
        <f t="shared" si="24"/>
        <v>0</v>
      </c>
      <c r="AR24" s="40"/>
      <c r="AS24" s="40">
        <v>0</v>
      </c>
      <c r="AT24" s="40" t="s">
        <v>82</v>
      </c>
      <c r="AU24" s="42">
        <f t="shared" si="25"/>
        <v>0</v>
      </c>
      <c r="AV24" s="43" t="str">
        <f t="shared" si="8"/>
        <v>Dian Ekaviyanti Rusydi,SP</v>
      </c>
      <c r="AW24" s="55">
        <f t="shared" si="21"/>
        <v>3550000</v>
      </c>
    </row>
    <row r="25" spans="1:49" ht="15" customHeight="1">
      <c r="A25" s="70">
        <v>15</v>
      </c>
      <c r="B25" s="111" t="str">
        <f>'Data Base Guru SD'!B22</f>
        <v>Hasriani, S.Pd</v>
      </c>
      <c r="C25" s="111" t="str">
        <f>'Data Base Guru SD'!J22</f>
        <v>Wali Kelas (Mengaji)</v>
      </c>
      <c r="D25" s="113">
        <f t="shared" si="0"/>
        <v>24</v>
      </c>
      <c r="E25" s="113">
        <v>24</v>
      </c>
      <c r="F25" s="113">
        <f t="shared" si="9"/>
        <v>24</v>
      </c>
      <c r="G25" s="113">
        <v>0</v>
      </c>
      <c r="H25" s="113">
        <f t="shared" si="10"/>
        <v>24</v>
      </c>
      <c r="I25" s="114">
        <v>0</v>
      </c>
      <c r="J25" s="113">
        <v>0</v>
      </c>
      <c r="K25" s="113">
        <f t="shared" si="11"/>
        <v>24</v>
      </c>
      <c r="L25" s="113">
        <v>0</v>
      </c>
      <c r="M25" s="113">
        <v>0</v>
      </c>
      <c r="N25" s="9"/>
      <c r="O25" s="9">
        <v>48</v>
      </c>
      <c r="P25" s="9" t="str">
        <f>'Data Base Guru SD'!R22</f>
        <v>S1</v>
      </c>
      <c r="Q25" s="9" t="str">
        <f ca="1">'Data Base Guru SD'!F22</f>
        <v>7 Tahun 0 Bulan 9 Hari</v>
      </c>
      <c r="R25" s="51">
        <v>6</v>
      </c>
      <c r="S25" s="51" t="str">
        <f>'Data Base Guru SD'!G22</f>
        <v>PT</v>
      </c>
      <c r="T25" s="152">
        <v>1950000</v>
      </c>
      <c r="U25" s="40"/>
      <c r="V25" s="21">
        <f>'Data Base Guru SD'!X22</f>
        <v>0</v>
      </c>
      <c r="W25" s="40">
        <f t="shared" si="12"/>
        <v>0</v>
      </c>
      <c r="X25" s="40">
        <f t="shared" si="18"/>
        <v>1950000</v>
      </c>
      <c r="Y25" s="41"/>
      <c r="Z25" s="41">
        <v>150000</v>
      </c>
      <c r="AA25" s="41">
        <v>100000</v>
      </c>
      <c r="AB25" s="41"/>
      <c r="AC25" s="41"/>
      <c r="AD25" s="41"/>
      <c r="AE25" s="109">
        <f t="shared" si="1"/>
        <v>100000</v>
      </c>
      <c r="AF25" s="41">
        <f t="shared" si="2"/>
        <v>240000</v>
      </c>
      <c r="AG25" s="40">
        <f t="shared" si="3"/>
        <v>120000</v>
      </c>
      <c r="AH25" s="40">
        <f t="shared" si="4"/>
        <v>120000</v>
      </c>
      <c r="AI25" s="40">
        <f t="shared" si="13"/>
        <v>240000</v>
      </c>
      <c r="AJ25" s="40">
        <v>150000</v>
      </c>
      <c r="AK25" s="40">
        <v>0</v>
      </c>
      <c r="AL25" s="40">
        <f t="shared" si="5"/>
        <v>1120000</v>
      </c>
      <c r="AM25" s="40">
        <f t="shared" si="6"/>
        <v>3070000</v>
      </c>
      <c r="AN25" s="40">
        <f t="shared" si="14"/>
        <v>0</v>
      </c>
      <c r="AO25" s="40"/>
      <c r="AP25" s="10">
        <f t="shared" si="7"/>
        <v>0</v>
      </c>
      <c r="AQ25" s="40">
        <f t="shared" si="24"/>
        <v>0</v>
      </c>
      <c r="AR25" s="40"/>
      <c r="AS25" s="40">
        <v>0</v>
      </c>
      <c r="AT25" s="40" t="s">
        <v>82</v>
      </c>
      <c r="AU25" s="42">
        <f t="shared" si="25"/>
        <v>0</v>
      </c>
      <c r="AV25" s="43" t="str">
        <f t="shared" si="8"/>
        <v>Hasriani, S.Pd</v>
      </c>
      <c r="AW25" s="55">
        <f t="shared" si="21"/>
        <v>3070000</v>
      </c>
    </row>
    <row r="26" spans="1:49" ht="14.5">
      <c r="A26" s="70">
        <v>16</v>
      </c>
      <c r="B26" s="111" t="str">
        <f>'Data Base Guru SD'!B23</f>
        <v>Hildawati Dulla, S.Pd</v>
      </c>
      <c r="C26" s="111" t="str">
        <f>'Data Base Guru SD'!J23</f>
        <v>Wali Kelas (Mengaji)</v>
      </c>
      <c r="D26" s="113">
        <f t="shared" si="0"/>
        <v>24</v>
      </c>
      <c r="E26" s="113">
        <v>24</v>
      </c>
      <c r="F26" s="113">
        <f t="shared" si="9"/>
        <v>24</v>
      </c>
      <c r="G26" s="113">
        <v>0</v>
      </c>
      <c r="H26" s="113">
        <f t="shared" si="10"/>
        <v>24</v>
      </c>
      <c r="I26" s="114">
        <v>0</v>
      </c>
      <c r="J26" s="113">
        <v>0</v>
      </c>
      <c r="K26" s="113">
        <f t="shared" si="11"/>
        <v>24</v>
      </c>
      <c r="L26" s="113">
        <v>0</v>
      </c>
      <c r="M26" s="113">
        <v>0</v>
      </c>
      <c r="N26" s="9"/>
      <c r="O26" s="9">
        <v>48</v>
      </c>
      <c r="P26" s="9" t="str">
        <f>'Data Base Guru SD'!R23</f>
        <v>S1</v>
      </c>
      <c r="Q26" s="9" t="str">
        <f ca="1">'Data Base Guru SD'!F23</f>
        <v>7 Tahun 1 Bulan 9 Hari</v>
      </c>
      <c r="R26" s="108">
        <v>7</v>
      </c>
      <c r="S26" s="51" t="str">
        <f>'Data Base Guru SD'!G23</f>
        <v>PT</v>
      </c>
      <c r="T26" s="152">
        <v>1950000</v>
      </c>
      <c r="U26" s="47"/>
      <c r="V26" s="21">
        <f>'Data Base Guru SD'!X23</f>
        <v>0</v>
      </c>
      <c r="W26" s="40">
        <f t="shared" si="12"/>
        <v>0</v>
      </c>
      <c r="X26" s="40">
        <f t="shared" si="18"/>
        <v>1950000</v>
      </c>
      <c r="Y26" s="109"/>
      <c r="Z26" s="41">
        <v>150000</v>
      </c>
      <c r="AA26" s="41">
        <v>100000</v>
      </c>
      <c r="AB26" s="109"/>
      <c r="AC26" s="41"/>
      <c r="AD26" s="109"/>
      <c r="AE26" s="109">
        <f t="shared" si="1"/>
        <v>100000</v>
      </c>
      <c r="AF26" s="41">
        <f t="shared" si="2"/>
        <v>240000</v>
      </c>
      <c r="AG26" s="40">
        <f t="shared" si="3"/>
        <v>120000</v>
      </c>
      <c r="AH26" s="40">
        <f t="shared" si="4"/>
        <v>120000</v>
      </c>
      <c r="AI26" s="40">
        <f t="shared" si="13"/>
        <v>240000</v>
      </c>
      <c r="AJ26" s="40">
        <v>150000</v>
      </c>
      <c r="AK26" s="47">
        <v>0</v>
      </c>
      <c r="AL26" s="40">
        <f t="shared" si="5"/>
        <v>1120000</v>
      </c>
      <c r="AM26" s="47">
        <f t="shared" si="6"/>
        <v>3070000</v>
      </c>
      <c r="AN26" s="40">
        <f t="shared" si="14"/>
        <v>0</v>
      </c>
      <c r="AO26" s="47"/>
      <c r="AP26" s="110">
        <f t="shared" si="7"/>
        <v>0</v>
      </c>
      <c r="AQ26" s="47">
        <f t="shared" si="24"/>
        <v>0</v>
      </c>
      <c r="AR26" s="47"/>
      <c r="AS26" s="40">
        <v>0</v>
      </c>
      <c r="AT26" s="40" t="s">
        <v>82</v>
      </c>
      <c r="AU26" s="42">
        <f t="shared" si="25"/>
        <v>0</v>
      </c>
      <c r="AV26" s="43" t="str">
        <f t="shared" si="8"/>
        <v>Hildawati Dulla, S.Pd</v>
      </c>
      <c r="AW26" s="55">
        <f t="shared" si="21"/>
        <v>3070000</v>
      </c>
    </row>
    <row r="27" spans="1:49" s="9" customFormat="1" ht="14.5">
      <c r="A27" s="70">
        <v>17</v>
      </c>
      <c r="B27" s="111" t="str">
        <f>'Data Base Guru SD'!B24</f>
        <v>Iin, S.Pd</v>
      </c>
      <c r="C27" s="111" t="str">
        <f>'Data Base Guru SD'!J24</f>
        <v xml:space="preserve">Wali Kelas </v>
      </c>
      <c r="D27" s="113">
        <f t="shared" si="0"/>
        <v>24</v>
      </c>
      <c r="E27" s="113">
        <v>24</v>
      </c>
      <c r="F27" s="113">
        <f t="shared" si="9"/>
        <v>24</v>
      </c>
      <c r="G27" s="113">
        <v>0</v>
      </c>
      <c r="H27" s="113">
        <f t="shared" si="10"/>
        <v>24</v>
      </c>
      <c r="I27" s="114">
        <v>0</v>
      </c>
      <c r="J27" s="113">
        <v>0</v>
      </c>
      <c r="K27" s="113">
        <f t="shared" si="11"/>
        <v>24</v>
      </c>
      <c r="L27" s="113">
        <v>0</v>
      </c>
      <c r="M27" s="113">
        <v>0</v>
      </c>
      <c r="O27" s="9">
        <v>8</v>
      </c>
      <c r="P27" s="9" t="str">
        <f>'Data Base Guru SD'!R24</f>
        <v>S1</v>
      </c>
      <c r="Q27" s="9" t="str">
        <f ca="1">'Data Base Guru SD'!F24</f>
        <v>7 Tahun 0 Bulan 9 Hari</v>
      </c>
      <c r="R27" s="51">
        <v>6</v>
      </c>
      <c r="S27" s="51" t="str">
        <f>'Data Base Guru SD'!G24</f>
        <v>PT</v>
      </c>
      <c r="T27" s="152">
        <v>1950000</v>
      </c>
      <c r="U27" s="40"/>
      <c r="V27" s="21">
        <f>'Data Base Guru SD'!X24</f>
        <v>2</v>
      </c>
      <c r="W27" s="40">
        <f t="shared" si="12"/>
        <v>40000</v>
      </c>
      <c r="X27" s="40">
        <f t="shared" si="18"/>
        <v>1990000</v>
      </c>
      <c r="Y27" s="41"/>
      <c r="Z27" s="41">
        <v>150000</v>
      </c>
      <c r="AA27" s="41">
        <v>100000</v>
      </c>
      <c r="AB27" s="41"/>
      <c r="AC27" s="41"/>
      <c r="AD27" s="41"/>
      <c r="AE27" s="109">
        <f t="shared" si="1"/>
        <v>100000</v>
      </c>
      <c r="AF27" s="41">
        <f t="shared" si="2"/>
        <v>240000</v>
      </c>
      <c r="AG27" s="40">
        <f t="shared" si="3"/>
        <v>120000</v>
      </c>
      <c r="AH27" s="40">
        <f t="shared" si="4"/>
        <v>120000</v>
      </c>
      <c r="AI27" s="40">
        <f t="shared" si="13"/>
        <v>40000</v>
      </c>
      <c r="AJ27" s="40">
        <v>150000</v>
      </c>
      <c r="AK27" s="40"/>
      <c r="AL27" s="40">
        <f t="shared" si="5"/>
        <v>920000</v>
      </c>
      <c r="AM27" s="47">
        <f t="shared" si="6"/>
        <v>2910000</v>
      </c>
      <c r="AN27" s="40">
        <f t="shared" si="14"/>
        <v>0</v>
      </c>
      <c r="AO27" s="47"/>
      <c r="AP27" s="110">
        <f t="shared" si="7"/>
        <v>0</v>
      </c>
      <c r="AQ27" s="47">
        <f t="shared" ref="AQ27:AQ46" si="26">AO27*AP27</f>
        <v>0</v>
      </c>
      <c r="AR27" s="47"/>
      <c r="AS27" s="40">
        <v>0</v>
      </c>
      <c r="AT27" s="40" t="s">
        <v>82</v>
      </c>
      <c r="AU27" s="42">
        <f t="shared" si="25"/>
        <v>0</v>
      </c>
      <c r="AV27" s="43" t="str">
        <f t="shared" si="8"/>
        <v>Iin, S.Pd</v>
      </c>
      <c r="AW27" s="55">
        <f t="shared" si="21"/>
        <v>2910000</v>
      </c>
    </row>
    <row r="28" spans="1:49" s="9" customFormat="1" ht="14.5">
      <c r="A28" s="70">
        <v>18</v>
      </c>
      <c r="B28" s="111" t="str">
        <f>'Data Base Guru SD'!B25</f>
        <v>Gisjawinta Ardo Maretza N</v>
      </c>
      <c r="C28" s="111" t="str">
        <f>'Data Base Guru SD'!J25</f>
        <v>Wali Kelas (Mengaji)</v>
      </c>
      <c r="D28" s="113">
        <f t="shared" si="0"/>
        <v>24</v>
      </c>
      <c r="E28" s="113">
        <v>24</v>
      </c>
      <c r="F28" s="113">
        <f t="shared" si="9"/>
        <v>24</v>
      </c>
      <c r="G28" s="113">
        <v>0</v>
      </c>
      <c r="H28" s="113">
        <f t="shared" si="10"/>
        <v>24</v>
      </c>
      <c r="I28" s="114">
        <v>0</v>
      </c>
      <c r="J28" s="113">
        <v>0</v>
      </c>
      <c r="K28" s="113">
        <f t="shared" si="11"/>
        <v>24</v>
      </c>
      <c r="L28" s="113">
        <v>0</v>
      </c>
      <c r="M28" s="113">
        <v>0</v>
      </c>
      <c r="O28" s="9">
        <v>48</v>
      </c>
      <c r="P28" s="9" t="str">
        <f>'Data Base Guru SD'!R25</f>
        <v>SMA</v>
      </c>
      <c r="Q28" s="9" t="str">
        <f ca="1">'Data Base Guru SD'!F25</f>
        <v>7 Tahun 1 Bulan 9 Hari</v>
      </c>
      <c r="R28" s="51">
        <v>7</v>
      </c>
      <c r="S28" s="51" t="str">
        <f>'Data Base Guru SD'!G25</f>
        <v>PT</v>
      </c>
      <c r="T28" s="152">
        <v>900000</v>
      </c>
      <c r="U28" s="40"/>
      <c r="V28" s="21">
        <f>'Data Base Guru SD'!X25</f>
        <v>0</v>
      </c>
      <c r="W28" s="40">
        <f t="shared" si="12"/>
        <v>0</v>
      </c>
      <c r="X28" s="40">
        <f t="shared" si="18"/>
        <v>900000</v>
      </c>
      <c r="Y28" s="41"/>
      <c r="Z28" s="41">
        <v>150000</v>
      </c>
      <c r="AA28" s="41">
        <v>100000</v>
      </c>
      <c r="AB28" s="41"/>
      <c r="AC28" s="41"/>
      <c r="AD28" s="41"/>
      <c r="AE28" s="109">
        <f t="shared" si="1"/>
        <v>100000</v>
      </c>
      <c r="AF28" s="41">
        <f t="shared" si="2"/>
        <v>240000</v>
      </c>
      <c r="AG28" s="40">
        <f t="shared" si="3"/>
        <v>120000</v>
      </c>
      <c r="AH28" s="40">
        <f t="shared" si="4"/>
        <v>120000</v>
      </c>
      <c r="AI28" s="40">
        <f t="shared" si="13"/>
        <v>240000</v>
      </c>
      <c r="AJ28" s="40">
        <v>150000</v>
      </c>
      <c r="AK28" s="40"/>
      <c r="AL28" s="40">
        <f t="shared" si="5"/>
        <v>1120000</v>
      </c>
      <c r="AM28" s="47">
        <f t="shared" si="6"/>
        <v>2020000</v>
      </c>
      <c r="AN28" s="40">
        <f t="shared" si="14"/>
        <v>0</v>
      </c>
      <c r="AO28" s="47"/>
      <c r="AP28" s="110">
        <f t="shared" si="7"/>
        <v>0</v>
      </c>
      <c r="AQ28" s="47">
        <f t="shared" si="26"/>
        <v>0</v>
      </c>
      <c r="AR28" s="47"/>
      <c r="AS28" s="40">
        <v>0</v>
      </c>
      <c r="AT28" s="40" t="s">
        <v>82</v>
      </c>
      <c r="AU28" s="42">
        <f t="shared" si="25"/>
        <v>0</v>
      </c>
      <c r="AV28" s="43" t="str">
        <f t="shared" si="8"/>
        <v>Gisjawinta Ardo Maretza N</v>
      </c>
      <c r="AW28" s="55">
        <f t="shared" si="21"/>
        <v>2020000</v>
      </c>
    </row>
    <row r="29" spans="1:49" s="9" customFormat="1" ht="14.5">
      <c r="A29" s="70">
        <v>19</v>
      </c>
      <c r="B29" s="111" t="str">
        <f>'Data Base Guru SD'!B26</f>
        <v xml:space="preserve">Ita Nurhasanah S.Pd </v>
      </c>
      <c r="C29" s="111" t="str">
        <f>'Data Base Guru SD'!J26</f>
        <v>Mapel (Mengaji)</v>
      </c>
      <c r="D29" s="113">
        <f t="shared" si="0"/>
        <v>24</v>
      </c>
      <c r="E29" s="113">
        <v>24</v>
      </c>
      <c r="F29" s="113">
        <f t="shared" si="9"/>
        <v>24</v>
      </c>
      <c r="G29" s="113">
        <v>0</v>
      </c>
      <c r="H29" s="113">
        <f t="shared" si="10"/>
        <v>24</v>
      </c>
      <c r="I29" s="114">
        <v>0</v>
      </c>
      <c r="J29" s="113">
        <v>0</v>
      </c>
      <c r="K29" s="113">
        <f t="shared" si="11"/>
        <v>24</v>
      </c>
      <c r="L29" s="113">
        <v>0</v>
      </c>
      <c r="M29" s="113">
        <v>0</v>
      </c>
      <c r="O29" s="9">
        <v>40</v>
      </c>
      <c r="P29" s="9" t="str">
        <f>'Data Base Guru SD'!R26</f>
        <v>S1</v>
      </c>
      <c r="Q29" s="9" t="str">
        <f ca="1">'Data Base Guru SD'!F26</f>
        <v>6 Tahun 1 Bulan 9 Hari</v>
      </c>
      <c r="R29" s="51">
        <v>6</v>
      </c>
      <c r="S29" s="51" t="str">
        <f>'Data Base Guru SD'!G26</f>
        <v>PT</v>
      </c>
      <c r="T29" s="148">
        <v>1900000</v>
      </c>
      <c r="U29" s="40"/>
      <c r="V29" s="21">
        <f>'Data Base Guru SD'!X26</f>
        <v>0</v>
      </c>
      <c r="W29" s="40">
        <f t="shared" si="12"/>
        <v>0</v>
      </c>
      <c r="X29" s="40">
        <f t="shared" si="18"/>
        <v>1900000</v>
      </c>
      <c r="Y29" s="41"/>
      <c r="Z29" s="41">
        <v>150000</v>
      </c>
      <c r="AA29" s="41"/>
      <c r="AB29" s="41"/>
      <c r="AC29" s="41"/>
      <c r="AD29" s="41"/>
      <c r="AE29" s="109">
        <f t="shared" si="1"/>
        <v>0</v>
      </c>
      <c r="AF29" s="41">
        <f t="shared" si="2"/>
        <v>240000</v>
      </c>
      <c r="AG29" s="40">
        <f t="shared" si="3"/>
        <v>120000</v>
      </c>
      <c r="AH29" s="40">
        <f t="shared" si="4"/>
        <v>120000</v>
      </c>
      <c r="AI29" s="40">
        <f t="shared" si="13"/>
        <v>200000</v>
      </c>
      <c r="AJ29" s="40">
        <v>150000</v>
      </c>
      <c r="AK29" s="40"/>
      <c r="AL29" s="40">
        <f t="shared" si="5"/>
        <v>980000</v>
      </c>
      <c r="AM29" s="47">
        <f t="shared" si="6"/>
        <v>2880000</v>
      </c>
      <c r="AN29" s="40">
        <f t="shared" si="14"/>
        <v>0</v>
      </c>
      <c r="AO29" s="47"/>
      <c r="AP29" s="110">
        <f t="shared" si="7"/>
        <v>0</v>
      </c>
      <c r="AQ29" s="47">
        <f t="shared" si="26"/>
        <v>0</v>
      </c>
      <c r="AR29" s="47"/>
      <c r="AS29" s="40">
        <v>0</v>
      </c>
      <c r="AT29" s="40" t="s">
        <v>82</v>
      </c>
      <c r="AU29" s="42">
        <f t="shared" si="25"/>
        <v>0</v>
      </c>
      <c r="AV29" s="43" t="str">
        <f t="shared" si="8"/>
        <v xml:space="preserve">Ita Nurhasanah S.Pd </v>
      </c>
      <c r="AW29" s="55">
        <f t="shared" si="21"/>
        <v>2880000</v>
      </c>
    </row>
    <row r="30" spans="1:49" s="9" customFormat="1" ht="14.5">
      <c r="A30" s="70">
        <v>20</v>
      </c>
      <c r="B30" s="111" t="str">
        <f>'Data Base Guru SD'!B27</f>
        <v>Nurhaeni, S.Pd., M.Pd</v>
      </c>
      <c r="C30" s="111" t="str">
        <f>'Data Base Guru SD'!J27</f>
        <v>Wali Kelas (Mengaji)</v>
      </c>
      <c r="D30" s="113">
        <f t="shared" si="0"/>
        <v>24</v>
      </c>
      <c r="E30" s="113">
        <v>24</v>
      </c>
      <c r="F30" s="113">
        <f t="shared" si="9"/>
        <v>24</v>
      </c>
      <c r="G30" s="113">
        <v>0</v>
      </c>
      <c r="H30" s="113">
        <f t="shared" si="10"/>
        <v>24</v>
      </c>
      <c r="I30" s="114">
        <v>0</v>
      </c>
      <c r="J30" s="113">
        <v>0</v>
      </c>
      <c r="K30" s="113">
        <f t="shared" si="11"/>
        <v>24</v>
      </c>
      <c r="L30" s="113">
        <v>0</v>
      </c>
      <c r="M30" s="113">
        <v>0</v>
      </c>
      <c r="O30" s="9">
        <v>48</v>
      </c>
      <c r="P30" s="9" t="str">
        <f>'Data Base Guru SD'!R27</f>
        <v>S1</v>
      </c>
      <c r="Q30" s="9" t="str">
        <f ca="1">'Data Base Guru SD'!F27</f>
        <v>1 Tahun 1 Bulan 9 Hari</v>
      </c>
      <c r="R30" s="51">
        <v>1</v>
      </c>
      <c r="S30" s="51" t="str">
        <f>'Data Base Guru SD'!G27</f>
        <v>PK</v>
      </c>
      <c r="T30" s="183">
        <v>550000</v>
      </c>
      <c r="U30" s="40"/>
      <c r="V30" s="21">
        <f>'Data Base Guru SD'!X27</f>
        <v>0</v>
      </c>
      <c r="W30" s="40">
        <f t="shared" si="12"/>
        <v>0</v>
      </c>
      <c r="X30" s="40">
        <f t="shared" si="18"/>
        <v>550000</v>
      </c>
      <c r="Y30" s="41"/>
      <c r="Z30" s="41"/>
      <c r="AA30" s="41">
        <v>100000</v>
      </c>
      <c r="AB30" s="41"/>
      <c r="AC30" s="41"/>
      <c r="AD30" s="41"/>
      <c r="AE30" s="109">
        <f t="shared" si="1"/>
        <v>100000</v>
      </c>
      <c r="AF30" s="41">
        <f t="shared" si="2"/>
        <v>240000</v>
      </c>
      <c r="AG30" s="40">
        <f t="shared" si="3"/>
        <v>120000</v>
      </c>
      <c r="AH30" s="40">
        <f t="shared" si="4"/>
        <v>120000</v>
      </c>
      <c r="AI30" s="40">
        <f t="shared" si="13"/>
        <v>240000</v>
      </c>
      <c r="AJ30" s="40">
        <v>150000</v>
      </c>
      <c r="AK30" s="40"/>
      <c r="AL30" s="40">
        <f t="shared" si="5"/>
        <v>970000</v>
      </c>
      <c r="AM30" s="47">
        <f t="shared" si="6"/>
        <v>1520000</v>
      </c>
      <c r="AN30" s="40">
        <f t="shared" si="14"/>
        <v>0</v>
      </c>
      <c r="AO30" s="47"/>
      <c r="AP30" s="110">
        <f t="shared" si="7"/>
        <v>0</v>
      </c>
      <c r="AQ30" s="47">
        <f t="shared" si="26"/>
        <v>0</v>
      </c>
      <c r="AR30" s="47"/>
      <c r="AS30" s="40">
        <v>0</v>
      </c>
      <c r="AT30" s="40" t="s">
        <v>82</v>
      </c>
      <c r="AU30" s="42">
        <f t="shared" si="25"/>
        <v>0</v>
      </c>
      <c r="AV30" s="43" t="str">
        <f t="shared" si="8"/>
        <v>Nurhaeni, S.Pd., M.Pd</v>
      </c>
      <c r="AW30" s="55">
        <f t="shared" si="21"/>
        <v>1520000</v>
      </c>
    </row>
    <row r="31" spans="1:49" s="9" customFormat="1" ht="14.5">
      <c r="A31" s="70">
        <v>21</v>
      </c>
      <c r="B31" s="111" t="str">
        <f>'Data Base Guru SD'!B28</f>
        <v xml:space="preserve">Hidayatun Nisa S.Pd </v>
      </c>
      <c r="C31" s="111" t="str">
        <f>'Data Base Guru SD'!J28</f>
        <v>Mapel(Mengaji)</v>
      </c>
      <c r="D31" s="113">
        <f t="shared" si="0"/>
        <v>24</v>
      </c>
      <c r="E31" s="113">
        <v>24</v>
      </c>
      <c r="F31" s="113">
        <f t="shared" si="9"/>
        <v>24</v>
      </c>
      <c r="G31" s="113">
        <v>0</v>
      </c>
      <c r="H31" s="113">
        <f t="shared" si="10"/>
        <v>24</v>
      </c>
      <c r="I31" s="114">
        <v>0</v>
      </c>
      <c r="J31" s="113">
        <v>0</v>
      </c>
      <c r="K31" s="113">
        <f t="shared" si="11"/>
        <v>24</v>
      </c>
      <c r="L31" s="113">
        <v>0</v>
      </c>
      <c r="M31" s="113">
        <v>0</v>
      </c>
      <c r="O31" s="9">
        <v>48</v>
      </c>
      <c r="P31" s="9" t="str">
        <f>'Data Base Guru SD'!R28</f>
        <v>S1</v>
      </c>
      <c r="Q31" s="9" t="str">
        <f ca="1">'Data Base Guru SD'!F28</f>
        <v>4 Tahun 1 Bulan 9 Hari</v>
      </c>
      <c r="R31" s="51">
        <v>4</v>
      </c>
      <c r="S31" s="51" t="str">
        <f>'Data Base Guru SD'!G28</f>
        <v>PT</v>
      </c>
      <c r="T31" s="153">
        <v>1850000</v>
      </c>
      <c r="U31" s="40"/>
      <c r="V31" s="21">
        <f>'Data Base Guru SD'!X28</f>
        <v>0</v>
      </c>
      <c r="W31" s="40">
        <f t="shared" si="12"/>
        <v>0</v>
      </c>
      <c r="X31" s="40">
        <f t="shared" si="18"/>
        <v>1850000</v>
      </c>
      <c r="Y31" s="41"/>
      <c r="Z31" s="41"/>
      <c r="AA31" s="41"/>
      <c r="AB31" s="41"/>
      <c r="AC31" s="41"/>
      <c r="AD31" s="41"/>
      <c r="AE31" s="109">
        <f t="shared" si="1"/>
        <v>0</v>
      </c>
      <c r="AF31" s="41">
        <f t="shared" si="2"/>
        <v>240000</v>
      </c>
      <c r="AG31" s="40">
        <f t="shared" si="3"/>
        <v>120000</v>
      </c>
      <c r="AH31" s="40">
        <f t="shared" si="4"/>
        <v>120000</v>
      </c>
      <c r="AI31" s="40">
        <f t="shared" si="13"/>
        <v>240000</v>
      </c>
      <c r="AJ31" s="40">
        <v>150000</v>
      </c>
      <c r="AK31" s="40"/>
      <c r="AL31" s="40">
        <f t="shared" si="5"/>
        <v>870000</v>
      </c>
      <c r="AM31" s="47">
        <f t="shared" si="6"/>
        <v>2720000</v>
      </c>
      <c r="AN31" s="40">
        <f t="shared" si="14"/>
        <v>0</v>
      </c>
      <c r="AO31" s="47"/>
      <c r="AP31" s="110">
        <f t="shared" si="7"/>
        <v>0</v>
      </c>
      <c r="AQ31" s="47">
        <f t="shared" si="26"/>
        <v>0</v>
      </c>
      <c r="AR31" s="47"/>
      <c r="AS31" s="40">
        <v>0</v>
      </c>
      <c r="AT31" s="40" t="s">
        <v>82</v>
      </c>
      <c r="AU31" s="42">
        <f t="shared" si="25"/>
        <v>0</v>
      </c>
      <c r="AV31" s="43" t="str">
        <f t="shared" si="8"/>
        <v xml:space="preserve">Hidayatun Nisa S.Pd </v>
      </c>
      <c r="AW31" s="55">
        <f t="shared" si="21"/>
        <v>2720000</v>
      </c>
    </row>
    <row r="32" spans="1:49" s="9" customFormat="1" ht="14.5">
      <c r="A32" s="70">
        <v>22</v>
      </c>
      <c r="B32" s="111" t="str">
        <f>'Data Base Guru SD'!B29</f>
        <v>Hizratul Laily S.H</v>
      </c>
      <c r="C32" s="111" t="str">
        <f>'Data Base Guru SD'!J29</f>
        <v>Mapel(Mengaji)</v>
      </c>
      <c r="D32" s="113">
        <f t="shared" si="0"/>
        <v>24</v>
      </c>
      <c r="E32" s="113">
        <v>24</v>
      </c>
      <c r="F32" s="113">
        <f t="shared" si="9"/>
        <v>24</v>
      </c>
      <c r="G32" s="113">
        <v>0</v>
      </c>
      <c r="H32" s="113">
        <f t="shared" si="10"/>
        <v>24</v>
      </c>
      <c r="I32" s="114">
        <v>0</v>
      </c>
      <c r="J32" s="113">
        <v>0</v>
      </c>
      <c r="K32" s="113">
        <f t="shared" si="11"/>
        <v>24</v>
      </c>
      <c r="L32" s="113">
        <v>0</v>
      </c>
      <c r="M32" s="113">
        <v>0</v>
      </c>
      <c r="O32" s="9">
        <v>40</v>
      </c>
      <c r="P32" s="9" t="str">
        <f>'Data Base Guru SD'!R29</f>
        <v>S1</v>
      </c>
      <c r="Q32" s="9" t="str">
        <f ca="1">'Data Base Guru SD'!F29</f>
        <v>5 Tahun 1 Bulan 9 Hari</v>
      </c>
      <c r="R32" s="51">
        <v>5</v>
      </c>
      <c r="S32" s="51" t="str">
        <f>'Data Base Guru SD'!G29</f>
        <v>PT</v>
      </c>
      <c r="T32" s="153">
        <v>1900000</v>
      </c>
      <c r="U32" s="40"/>
      <c r="V32" s="21">
        <f>'Data Base Guru SD'!X29</f>
        <v>0</v>
      </c>
      <c r="W32" s="40">
        <f t="shared" si="12"/>
        <v>0</v>
      </c>
      <c r="X32" s="40">
        <f t="shared" si="18"/>
        <v>1900000</v>
      </c>
      <c r="Y32" s="41"/>
      <c r="Z32" s="41">
        <v>150000</v>
      </c>
      <c r="AA32" s="41"/>
      <c r="AB32" s="41"/>
      <c r="AC32" s="41"/>
      <c r="AD32" s="41"/>
      <c r="AE32" s="109">
        <f t="shared" si="1"/>
        <v>0</v>
      </c>
      <c r="AF32" s="41">
        <f t="shared" si="2"/>
        <v>240000</v>
      </c>
      <c r="AG32" s="40">
        <f t="shared" si="3"/>
        <v>120000</v>
      </c>
      <c r="AH32" s="40">
        <f t="shared" si="4"/>
        <v>120000</v>
      </c>
      <c r="AI32" s="40">
        <f t="shared" si="13"/>
        <v>200000</v>
      </c>
      <c r="AJ32" s="40">
        <v>150000</v>
      </c>
      <c r="AK32" s="40"/>
      <c r="AL32" s="40">
        <f t="shared" si="5"/>
        <v>980000</v>
      </c>
      <c r="AM32" s="47">
        <f t="shared" si="6"/>
        <v>2880000</v>
      </c>
      <c r="AN32" s="40">
        <f t="shared" si="14"/>
        <v>0</v>
      </c>
      <c r="AO32" s="47"/>
      <c r="AP32" s="110">
        <f t="shared" si="7"/>
        <v>0</v>
      </c>
      <c r="AQ32" s="47">
        <f t="shared" si="26"/>
        <v>0</v>
      </c>
      <c r="AR32" s="47"/>
      <c r="AS32" s="40">
        <v>0</v>
      </c>
      <c r="AT32" s="40" t="s">
        <v>82</v>
      </c>
      <c r="AU32" s="42">
        <f t="shared" si="25"/>
        <v>0</v>
      </c>
      <c r="AV32" s="43" t="str">
        <f t="shared" si="8"/>
        <v>Hizratul Laily S.H</v>
      </c>
      <c r="AW32" s="55">
        <f t="shared" si="21"/>
        <v>2880000</v>
      </c>
    </row>
    <row r="33" spans="1:49" s="9" customFormat="1" ht="14.5">
      <c r="A33" s="70">
        <v>23</v>
      </c>
      <c r="B33" s="111" t="str">
        <f>'Data Base Guru SD'!B30</f>
        <v xml:space="preserve">Dwi Oktaviana S.Pd </v>
      </c>
      <c r="C33" s="111" t="str">
        <f>'Data Base Guru SD'!J30</f>
        <v>Wali Kelas</v>
      </c>
      <c r="D33" s="113">
        <f t="shared" si="0"/>
        <v>24</v>
      </c>
      <c r="E33" s="113">
        <v>24</v>
      </c>
      <c r="F33" s="113">
        <f t="shared" si="9"/>
        <v>24</v>
      </c>
      <c r="G33" s="113">
        <v>0</v>
      </c>
      <c r="H33" s="113">
        <f t="shared" si="10"/>
        <v>24</v>
      </c>
      <c r="I33" s="114">
        <v>0</v>
      </c>
      <c r="J33" s="113">
        <v>0</v>
      </c>
      <c r="K33" s="113">
        <f t="shared" si="11"/>
        <v>24</v>
      </c>
      <c r="L33" s="113">
        <v>0</v>
      </c>
      <c r="M33" s="113">
        <v>0</v>
      </c>
      <c r="O33" s="9">
        <v>48</v>
      </c>
      <c r="P33" s="9" t="str">
        <f>'Data Base Guru SD'!R30</f>
        <v>S1</v>
      </c>
      <c r="Q33" s="9" t="str">
        <f ca="1">'Data Base Guru SD'!F30</f>
        <v>5 Tahun 1 Bulan 9 Hari</v>
      </c>
      <c r="R33" s="51">
        <v>5</v>
      </c>
      <c r="S33" s="51" t="str">
        <f>'Data Base Guru SD'!G30</f>
        <v>PT</v>
      </c>
      <c r="T33" s="153">
        <v>1900000</v>
      </c>
      <c r="U33" s="40"/>
      <c r="V33" s="21">
        <f>'Data Base Guru SD'!X30</f>
        <v>0</v>
      </c>
      <c r="W33" s="40">
        <f t="shared" si="12"/>
        <v>0</v>
      </c>
      <c r="X33" s="40">
        <f t="shared" si="18"/>
        <v>1900000</v>
      </c>
      <c r="Y33" s="41"/>
      <c r="Z33" s="41">
        <v>150000</v>
      </c>
      <c r="AA33" s="41">
        <v>100000</v>
      </c>
      <c r="AB33" s="41"/>
      <c r="AC33" s="41"/>
      <c r="AD33" s="41"/>
      <c r="AE33" s="109">
        <f t="shared" si="1"/>
        <v>100000</v>
      </c>
      <c r="AF33" s="41">
        <f t="shared" si="2"/>
        <v>240000</v>
      </c>
      <c r="AG33" s="40">
        <f t="shared" si="3"/>
        <v>120000</v>
      </c>
      <c r="AH33" s="40">
        <f t="shared" si="4"/>
        <v>120000</v>
      </c>
      <c r="AI33" s="40">
        <f t="shared" si="13"/>
        <v>240000</v>
      </c>
      <c r="AJ33" s="40">
        <v>150000</v>
      </c>
      <c r="AK33" s="40"/>
      <c r="AL33" s="40">
        <f t="shared" si="5"/>
        <v>1120000</v>
      </c>
      <c r="AM33" s="47">
        <f t="shared" si="6"/>
        <v>3020000</v>
      </c>
      <c r="AN33" s="40">
        <f t="shared" si="14"/>
        <v>0</v>
      </c>
      <c r="AO33" s="47"/>
      <c r="AP33" s="110">
        <f t="shared" si="7"/>
        <v>0</v>
      </c>
      <c r="AQ33" s="47">
        <f t="shared" si="26"/>
        <v>0</v>
      </c>
      <c r="AR33" s="47"/>
      <c r="AS33" s="40">
        <v>0</v>
      </c>
      <c r="AT33" s="40" t="s">
        <v>82</v>
      </c>
      <c r="AU33" s="42">
        <f t="shared" si="25"/>
        <v>0</v>
      </c>
      <c r="AV33" s="43" t="str">
        <f t="shared" si="8"/>
        <v xml:space="preserve">Dwi Oktaviana S.Pd </v>
      </c>
      <c r="AW33" s="55">
        <f t="shared" si="21"/>
        <v>3020000</v>
      </c>
    </row>
    <row r="34" spans="1:49" s="9" customFormat="1" ht="14.5">
      <c r="A34" s="70">
        <v>24</v>
      </c>
      <c r="B34" s="111" t="str">
        <f>'Data Base Guru SD'!B31</f>
        <v>Julianti S.Pd</v>
      </c>
      <c r="C34" s="111" t="str">
        <f>'Data Base Guru SD'!J31</f>
        <v>Wali Kelas</v>
      </c>
      <c r="D34" s="113">
        <f t="shared" si="0"/>
        <v>24</v>
      </c>
      <c r="E34" s="113">
        <v>24</v>
      </c>
      <c r="F34" s="113">
        <f t="shared" si="9"/>
        <v>24</v>
      </c>
      <c r="G34" s="113">
        <v>0</v>
      </c>
      <c r="H34" s="113">
        <f t="shared" si="10"/>
        <v>24</v>
      </c>
      <c r="I34" s="114">
        <v>0</v>
      </c>
      <c r="J34" s="113">
        <v>0</v>
      </c>
      <c r="K34" s="113">
        <f t="shared" si="11"/>
        <v>24</v>
      </c>
      <c r="L34" s="113">
        <v>0</v>
      </c>
      <c r="M34" s="113">
        <v>0</v>
      </c>
      <c r="O34" s="9">
        <v>48</v>
      </c>
      <c r="P34" s="9" t="str">
        <f>'Data Base Guru SD'!R31</f>
        <v>S1</v>
      </c>
      <c r="Q34" s="9" t="str">
        <f ca="1">'Data Base Guru SD'!F31</f>
        <v>3 Tahun 7 Bulan 9 Hari</v>
      </c>
      <c r="R34" s="51">
        <v>3</v>
      </c>
      <c r="S34" s="51" t="str">
        <f>'Data Base Guru SD'!G31</f>
        <v>PT</v>
      </c>
      <c r="T34" s="153">
        <v>1850000</v>
      </c>
      <c r="U34" s="40"/>
      <c r="V34" s="21">
        <f>'Data Base Guru SD'!X31</f>
        <v>0</v>
      </c>
      <c r="W34" s="40">
        <f t="shared" si="12"/>
        <v>0</v>
      </c>
      <c r="X34" s="40">
        <f t="shared" si="18"/>
        <v>1850000</v>
      </c>
      <c r="Y34" s="41"/>
      <c r="Z34" s="41"/>
      <c r="AA34" s="41">
        <v>100000</v>
      </c>
      <c r="AB34" s="41"/>
      <c r="AC34" s="41"/>
      <c r="AD34" s="41"/>
      <c r="AE34" s="109">
        <f t="shared" si="1"/>
        <v>100000</v>
      </c>
      <c r="AF34" s="41">
        <f t="shared" si="2"/>
        <v>240000</v>
      </c>
      <c r="AG34" s="40">
        <f t="shared" si="3"/>
        <v>120000</v>
      </c>
      <c r="AH34" s="40">
        <f t="shared" si="4"/>
        <v>120000</v>
      </c>
      <c r="AI34" s="40">
        <f t="shared" si="13"/>
        <v>240000</v>
      </c>
      <c r="AJ34" s="40">
        <v>150000</v>
      </c>
      <c r="AK34" s="40"/>
      <c r="AL34" s="40">
        <f t="shared" si="5"/>
        <v>970000</v>
      </c>
      <c r="AM34" s="47">
        <f t="shared" si="6"/>
        <v>2820000</v>
      </c>
      <c r="AN34" s="40">
        <f t="shared" si="14"/>
        <v>0</v>
      </c>
      <c r="AO34" s="47"/>
      <c r="AP34" s="110">
        <f t="shared" si="7"/>
        <v>0</v>
      </c>
      <c r="AQ34" s="47">
        <f t="shared" si="26"/>
        <v>0</v>
      </c>
      <c r="AR34" s="47"/>
      <c r="AS34" s="40">
        <v>0</v>
      </c>
      <c r="AT34" s="40" t="s">
        <v>82</v>
      </c>
      <c r="AU34" s="42">
        <f t="shared" si="25"/>
        <v>0</v>
      </c>
      <c r="AV34" s="43" t="str">
        <f t="shared" si="8"/>
        <v>Julianti S.Pd</v>
      </c>
      <c r="AW34" s="55">
        <f t="shared" si="21"/>
        <v>2820000</v>
      </c>
    </row>
    <row r="35" spans="1:49" s="9" customFormat="1" ht="14.5">
      <c r="A35" s="70">
        <v>25</v>
      </c>
      <c r="B35" s="111" t="str">
        <f>'Data Base Guru SD'!B32</f>
        <v>Nadia Azzahrah</v>
      </c>
      <c r="C35" s="111" t="str">
        <f>'Data Base Guru SD'!J32</f>
        <v>Guru Mapel (mengaji)</v>
      </c>
      <c r="D35" s="113">
        <f t="shared" si="0"/>
        <v>24</v>
      </c>
      <c r="E35" s="113">
        <v>24</v>
      </c>
      <c r="F35" s="113">
        <f t="shared" si="9"/>
        <v>24</v>
      </c>
      <c r="G35" s="113">
        <v>0</v>
      </c>
      <c r="H35" s="113">
        <f t="shared" si="10"/>
        <v>24</v>
      </c>
      <c r="I35" s="114">
        <v>0</v>
      </c>
      <c r="J35" s="113">
        <v>0</v>
      </c>
      <c r="K35" s="113">
        <f t="shared" si="11"/>
        <v>24</v>
      </c>
      <c r="L35" s="113">
        <v>0</v>
      </c>
      <c r="M35" s="113">
        <v>0</v>
      </c>
      <c r="O35" s="9">
        <v>40</v>
      </c>
      <c r="P35" s="9" t="str">
        <f>'Data Base Guru SD'!R32</f>
        <v>SMA</v>
      </c>
      <c r="Q35" s="9" t="str">
        <f ca="1">'Data Base Guru SD'!F32</f>
        <v>2 Tahun 1 Bulan 9 Hari</v>
      </c>
      <c r="R35" s="51">
        <v>2</v>
      </c>
      <c r="S35" s="51" t="str">
        <f>'Data Base Guru SD'!G32</f>
        <v>PK</v>
      </c>
      <c r="T35" s="153">
        <v>350000</v>
      </c>
      <c r="U35" s="40"/>
      <c r="V35" s="21">
        <f>'Data Base Guru SD'!X32</f>
        <v>0</v>
      </c>
      <c r="W35" s="40">
        <f t="shared" si="12"/>
        <v>0</v>
      </c>
      <c r="X35" s="40">
        <f t="shared" si="18"/>
        <v>350000</v>
      </c>
      <c r="Y35" s="41"/>
      <c r="Z35" s="41"/>
      <c r="AA35" s="41"/>
      <c r="AB35" s="41"/>
      <c r="AC35" s="41"/>
      <c r="AD35" s="41"/>
      <c r="AE35" s="109">
        <f t="shared" si="1"/>
        <v>0</v>
      </c>
      <c r="AF35" s="41">
        <f t="shared" si="2"/>
        <v>240000</v>
      </c>
      <c r="AG35" s="40">
        <f t="shared" si="3"/>
        <v>120000</v>
      </c>
      <c r="AH35" s="40">
        <f t="shared" si="4"/>
        <v>120000</v>
      </c>
      <c r="AI35" s="40">
        <f t="shared" si="13"/>
        <v>200000</v>
      </c>
      <c r="AJ35" s="40">
        <v>150000</v>
      </c>
      <c r="AK35" s="40"/>
      <c r="AL35" s="40">
        <f t="shared" si="5"/>
        <v>830000</v>
      </c>
      <c r="AM35" s="47">
        <f t="shared" si="6"/>
        <v>1180000</v>
      </c>
      <c r="AN35" s="40">
        <f t="shared" si="14"/>
        <v>0</v>
      </c>
      <c r="AO35" s="47"/>
      <c r="AP35" s="110">
        <f t="shared" si="7"/>
        <v>0</v>
      </c>
      <c r="AQ35" s="47">
        <f t="shared" si="26"/>
        <v>0</v>
      </c>
      <c r="AR35" s="47"/>
      <c r="AS35" s="40">
        <v>0</v>
      </c>
      <c r="AT35" s="40" t="s">
        <v>82</v>
      </c>
      <c r="AU35" s="42">
        <f t="shared" si="25"/>
        <v>0</v>
      </c>
      <c r="AV35" s="43" t="str">
        <f t="shared" si="8"/>
        <v>Nadia Azzahrah</v>
      </c>
      <c r="AW35" s="55">
        <f t="shared" si="21"/>
        <v>1180000</v>
      </c>
    </row>
    <row r="36" spans="1:49" s="9" customFormat="1" ht="14.5">
      <c r="A36" s="70">
        <v>26</v>
      </c>
      <c r="B36" s="111" t="str">
        <f>'Data Base Guru SD'!B33</f>
        <v>Nur Halisah Aminun S.Pd</v>
      </c>
      <c r="C36" s="111" t="str">
        <f>'Data Base Guru SD'!J33</f>
        <v>Wali Kelas (Mengaji)</v>
      </c>
      <c r="D36" s="113">
        <f t="shared" ref="D36:D46" si="27">F36+I36</f>
        <v>24</v>
      </c>
      <c r="E36" s="113">
        <v>24</v>
      </c>
      <c r="F36" s="113">
        <f t="shared" si="9"/>
        <v>24</v>
      </c>
      <c r="G36" s="113">
        <v>0</v>
      </c>
      <c r="H36" s="113">
        <f t="shared" si="10"/>
        <v>24</v>
      </c>
      <c r="I36" s="114">
        <v>0</v>
      </c>
      <c r="J36" s="113">
        <v>0</v>
      </c>
      <c r="K36" s="113">
        <f t="shared" si="11"/>
        <v>24</v>
      </c>
      <c r="L36" s="113">
        <v>0</v>
      </c>
      <c r="M36" s="113">
        <v>0</v>
      </c>
      <c r="O36" s="9">
        <v>48</v>
      </c>
      <c r="P36" s="9" t="str">
        <f>'Data Base Guru SD'!R33</f>
        <v>S1</v>
      </c>
      <c r="Q36" s="9" t="str">
        <f ca="1">'Data Base Guru SD'!F33</f>
        <v>4 Tahun 7 Bulan 9 Hari</v>
      </c>
      <c r="R36" s="51">
        <v>4</v>
      </c>
      <c r="S36" s="51" t="str">
        <f>'Data Base Guru SD'!G33</f>
        <v>PT</v>
      </c>
      <c r="T36" s="153">
        <v>1850000</v>
      </c>
      <c r="U36" s="40"/>
      <c r="V36" s="21">
        <f>'Data Base Guru SD'!X33</f>
        <v>0</v>
      </c>
      <c r="W36" s="40">
        <f t="shared" si="12"/>
        <v>0</v>
      </c>
      <c r="X36" s="40">
        <f t="shared" si="18"/>
        <v>1850000</v>
      </c>
      <c r="Y36" s="41"/>
      <c r="Z36" s="41"/>
      <c r="AA36" s="41">
        <v>100000</v>
      </c>
      <c r="AB36" s="41"/>
      <c r="AC36" s="41"/>
      <c r="AD36" s="41"/>
      <c r="AE36" s="109">
        <f t="shared" si="1"/>
        <v>100000</v>
      </c>
      <c r="AF36" s="41">
        <f t="shared" si="2"/>
        <v>240000</v>
      </c>
      <c r="AG36" s="40">
        <f t="shared" si="3"/>
        <v>120000</v>
      </c>
      <c r="AH36" s="40">
        <f t="shared" si="4"/>
        <v>120000</v>
      </c>
      <c r="AI36" s="40">
        <f t="shared" si="13"/>
        <v>240000</v>
      </c>
      <c r="AJ36" s="40">
        <v>150000</v>
      </c>
      <c r="AK36" s="40"/>
      <c r="AL36" s="40">
        <f t="shared" si="5"/>
        <v>970000</v>
      </c>
      <c r="AM36" s="47">
        <f t="shared" si="6"/>
        <v>2820000</v>
      </c>
      <c r="AN36" s="40">
        <f t="shared" si="14"/>
        <v>0</v>
      </c>
      <c r="AO36" s="47"/>
      <c r="AP36" s="110">
        <f t="shared" si="7"/>
        <v>0</v>
      </c>
      <c r="AQ36" s="47">
        <f t="shared" si="26"/>
        <v>0</v>
      </c>
      <c r="AR36" s="47"/>
      <c r="AS36" s="40">
        <v>0</v>
      </c>
      <c r="AT36" s="40" t="s">
        <v>82</v>
      </c>
      <c r="AU36" s="42">
        <f t="shared" si="25"/>
        <v>0</v>
      </c>
      <c r="AV36" s="43" t="str">
        <f t="shared" si="8"/>
        <v>Nur Halisah Aminun S.Pd</v>
      </c>
      <c r="AW36" s="55">
        <f t="shared" si="21"/>
        <v>2820000</v>
      </c>
    </row>
    <row r="37" spans="1:49" s="9" customFormat="1" ht="14.5">
      <c r="A37" s="70">
        <v>27</v>
      </c>
      <c r="B37" s="111" t="str">
        <f>'Data Base Guru SD'!B34</f>
        <v>Sri Mulyani S.Pd</v>
      </c>
      <c r="C37" s="111" t="str">
        <f>'Data Base Guru SD'!J34</f>
        <v>Wali Kelas</v>
      </c>
      <c r="D37" s="113">
        <f t="shared" si="27"/>
        <v>24</v>
      </c>
      <c r="E37" s="113">
        <v>24</v>
      </c>
      <c r="F37" s="113">
        <f t="shared" si="9"/>
        <v>24</v>
      </c>
      <c r="G37" s="113">
        <v>0</v>
      </c>
      <c r="H37" s="113">
        <f t="shared" si="10"/>
        <v>24</v>
      </c>
      <c r="I37" s="114">
        <v>0</v>
      </c>
      <c r="J37" s="113">
        <v>0</v>
      </c>
      <c r="K37" s="113">
        <f t="shared" si="11"/>
        <v>24</v>
      </c>
      <c r="L37" s="113">
        <v>0</v>
      </c>
      <c r="M37" s="113">
        <v>0</v>
      </c>
      <c r="O37" s="9">
        <v>48</v>
      </c>
      <c r="P37" s="9" t="str">
        <f>'Data Base Guru SD'!R34</f>
        <v>S1</v>
      </c>
      <c r="Q37" s="9" t="str">
        <f ca="1">'Data Base Guru SD'!F34</f>
        <v>4 Tahun 9 Bulan 9 Hari</v>
      </c>
      <c r="R37" s="51">
        <v>4</v>
      </c>
      <c r="S37" s="51" t="str">
        <f>'Data Base Guru SD'!G34</f>
        <v>PT</v>
      </c>
      <c r="T37" s="153">
        <v>1850000</v>
      </c>
      <c r="U37" s="40"/>
      <c r="V37" s="21">
        <f>'Data Base Guru SD'!X34</f>
        <v>0</v>
      </c>
      <c r="W37" s="40">
        <f t="shared" si="12"/>
        <v>0</v>
      </c>
      <c r="X37" s="40">
        <f t="shared" si="18"/>
        <v>1850000</v>
      </c>
      <c r="Y37" s="41"/>
      <c r="Z37" s="41"/>
      <c r="AA37" s="41">
        <v>100000</v>
      </c>
      <c r="AB37" s="41"/>
      <c r="AC37" s="41"/>
      <c r="AD37" s="41"/>
      <c r="AE37" s="109">
        <f t="shared" si="1"/>
        <v>100000</v>
      </c>
      <c r="AF37" s="41">
        <f t="shared" si="2"/>
        <v>240000</v>
      </c>
      <c r="AG37" s="40">
        <f t="shared" si="3"/>
        <v>120000</v>
      </c>
      <c r="AH37" s="40">
        <f t="shared" si="4"/>
        <v>120000</v>
      </c>
      <c r="AI37" s="40">
        <f t="shared" si="13"/>
        <v>240000</v>
      </c>
      <c r="AJ37" s="40">
        <v>150000</v>
      </c>
      <c r="AK37" s="40"/>
      <c r="AL37" s="40">
        <f t="shared" si="5"/>
        <v>970000</v>
      </c>
      <c r="AM37" s="47">
        <f t="shared" si="6"/>
        <v>2820000</v>
      </c>
      <c r="AN37" s="40">
        <f t="shared" si="14"/>
        <v>0</v>
      </c>
      <c r="AO37" s="47"/>
      <c r="AP37" s="110">
        <f t="shared" si="7"/>
        <v>0</v>
      </c>
      <c r="AQ37" s="47">
        <f t="shared" si="26"/>
        <v>0</v>
      </c>
      <c r="AR37" s="47"/>
      <c r="AS37" s="40">
        <v>0</v>
      </c>
      <c r="AT37" s="40" t="s">
        <v>82</v>
      </c>
      <c r="AU37" s="42">
        <f t="shared" si="25"/>
        <v>0</v>
      </c>
      <c r="AV37" s="43" t="str">
        <f t="shared" si="8"/>
        <v>Sri Mulyani S.Pd</v>
      </c>
      <c r="AW37" s="55">
        <f t="shared" si="21"/>
        <v>2820000</v>
      </c>
    </row>
    <row r="38" spans="1:49" s="9" customFormat="1" ht="14.5">
      <c r="A38" s="70">
        <v>28</v>
      </c>
      <c r="B38" s="111" t="str">
        <f>'Data Base Guru SD'!B35</f>
        <v xml:space="preserve">Saidatul Musayyadah S.Pd </v>
      </c>
      <c r="C38" s="111" t="str">
        <f>'Data Base Guru SD'!J35</f>
        <v>Mapel (Mengaji)</v>
      </c>
      <c r="D38" s="113">
        <f t="shared" si="27"/>
        <v>24</v>
      </c>
      <c r="E38" s="113">
        <v>24</v>
      </c>
      <c r="F38" s="113">
        <f t="shared" si="9"/>
        <v>24</v>
      </c>
      <c r="G38" s="113">
        <v>0</v>
      </c>
      <c r="H38" s="113">
        <f t="shared" si="10"/>
        <v>24</v>
      </c>
      <c r="I38" s="114">
        <v>0</v>
      </c>
      <c r="J38" s="113">
        <v>0</v>
      </c>
      <c r="K38" s="113">
        <f t="shared" si="11"/>
        <v>24</v>
      </c>
      <c r="L38" s="113">
        <v>0</v>
      </c>
      <c r="M38" s="113">
        <v>0</v>
      </c>
      <c r="O38" s="9">
        <v>40</v>
      </c>
      <c r="P38" s="9" t="str">
        <f>'Data Base Guru SD'!R35</f>
        <v>S1</v>
      </c>
      <c r="Q38" s="9" t="str">
        <f ca="1">'Data Base Guru SD'!F35</f>
        <v>4 Tahun 6 Bulan 9 Hari</v>
      </c>
      <c r="R38" s="51">
        <v>4</v>
      </c>
      <c r="S38" s="51" t="str">
        <f>'Data Base Guru SD'!G35</f>
        <v>PT</v>
      </c>
      <c r="T38" s="153">
        <v>1850000</v>
      </c>
      <c r="U38" s="40"/>
      <c r="V38" s="21">
        <f>'Data Base Guru SD'!X35</f>
        <v>0</v>
      </c>
      <c r="W38" s="40">
        <f t="shared" si="12"/>
        <v>0</v>
      </c>
      <c r="X38" s="40">
        <f t="shared" si="18"/>
        <v>1850000</v>
      </c>
      <c r="Y38" s="41"/>
      <c r="Z38" s="41"/>
      <c r="AA38" s="41"/>
      <c r="AB38" s="41"/>
      <c r="AC38" s="41"/>
      <c r="AD38" s="41"/>
      <c r="AE38" s="109">
        <f t="shared" si="1"/>
        <v>0</v>
      </c>
      <c r="AF38" s="41">
        <f t="shared" si="2"/>
        <v>240000</v>
      </c>
      <c r="AG38" s="40">
        <f t="shared" si="3"/>
        <v>120000</v>
      </c>
      <c r="AH38" s="40">
        <f t="shared" si="4"/>
        <v>120000</v>
      </c>
      <c r="AI38" s="40">
        <f t="shared" si="13"/>
        <v>200000</v>
      </c>
      <c r="AJ38" s="40">
        <v>150000</v>
      </c>
      <c r="AK38" s="40"/>
      <c r="AL38" s="40">
        <f t="shared" si="5"/>
        <v>830000</v>
      </c>
      <c r="AM38" s="47">
        <f t="shared" si="6"/>
        <v>2680000</v>
      </c>
      <c r="AN38" s="40">
        <f t="shared" si="14"/>
        <v>0</v>
      </c>
      <c r="AO38" s="47"/>
      <c r="AP38" s="110">
        <f t="shared" si="7"/>
        <v>0</v>
      </c>
      <c r="AQ38" s="47">
        <f t="shared" si="26"/>
        <v>0</v>
      </c>
      <c r="AR38" s="47"/>
      <c r="AS38" s="40">
        <v>0</v>
      </c>
      <c r="AT38" s="40" t="s">
        <v>82</v>
      </c>
      <c r="AU38" s="42">
        <f t="shared" si="25"/>
        <v>0</v>
      </c>
      <c r="AV38" s="43" t="str">
        <f t="shared" si="8"/>
        <v xml:space="preserve">Saidatul Musayyadah S.Pd </v>
      </c>
      <c r="AW38" s="55">
        <f t="shared" si="21"/>
        <v>2680000</v>
      </c>
    </row>
    <row r="39" spans="1:49" s="9" customFormat="1" ht="14.5">
      <c r="A39" s="70">
        <v>29</v>
      </c>
      <c r="B39" s="111" t="str">
        <f>'Data Base Guru SD'!B36</f>
        <v xml:space="preserve">Reski Elvira Sari S.Pd </v>
      </c>
      <c r="C39" s="111" t="str">
        <f>'Data Base Guru SD'!J36</f>
        <v>Wali kelas</v>
      </c>
      <c r="D39" s="113">
        <f t="shared" si="27"/>
        <v>24</v>
      </c>
      <c r="E39" s="113">
        <v>24</v>
      </c>
      <c r="F39" s="113">
        <f t="shared" si="9"/>
        <v>24</v>
      </c>
      <c r="G39" s="113">
        <v>0</v>
      </c>
      <c r="H39" s="113">
        <f t="shared" si="10"/>
        <v>24</v>
      </c>
      <c r="I39" s="114">
        <v>0</v>
      </c>
      <c r="J39" s="113">
        <v>0</v>
      </c>
      <c r="K39" s="113">
        <f t="shared" si="11"/>
        <v>24</v>
      </c>
      <c r="L39" s="113">
        <v>0</v>
      </c>
      <c r="M39" s="113">
        <v>0</v>
      </c>
      <c r="O39" s="9">
        <v>48</v>
      </c>
      <c r="P39" s="9" t="str">
        <f>'Data Base Guru SD'!R36</f>
        <v>S1</v>
      </c>
      <c r="Q39" s="9" t="str">
        <f ca="1">'Data Base Guru SD'!F36</f>
        <v>3 Tahun 11 Bulan 9 Hari</v>
      </c>
      <c r="R39" s="51">
        <v>3</v>
      </c>
      <c r="S39" s="51" t="str">
        <f>'Data Base Guru SD'!G36</f>
        <v>PT</v>
      </c>
      <c r="T39" s="153">
        <v>1850000</v>
      </c>
      <c r="U39" s="40"/>
      <c r="V39" s="21">
        <f>'Data Base Guru SD'!X36</f>
        <v>0</v>
      </c>
      <c r="W39" s="40">
        <f t="shared" si="12"/>
        <v>0</v>
      </c>
      <c r="X39" s="40">
        <f t="shared" si="18"/>
        <v>1850000</v>
      </c>
      <c r="Y39" s="41"/>
      <c r="Z39" s="41"/>
      <c r="AA39" s="41">
        <v>100000</v>
      </c>
      <c r="AB39" s="41"/>
      <c r="AC39" s="41"/>
      <c r="AD39" s="41"/>
      <c r="AE39" s="109">
        <f t="shared" si="1"/>
        <v>100000</v>
      </c>
      <c r="AF39" s="41">
        <f t="shared" si="2"/>
        <v>240000</v>
      </c>
      <c r="AG39" s="40">
        <f t="shared" si="3"/>
        <v>120000</v>
      </c>
      <c r="AH39" s="40">
        <f t="shared" si="4"/>
        <v>120000</v>
      </c>
      <c r="AI39" s="40">
        <f t="shared" si="13"/>
        <v>240000</v>
      </c>
      <c r="AJ39" s="40">
        <v>150000</v>
      </c>
      <c r="AK39" s="40"/>
      <c r="AL39" s="40">
        <f t="shared" si="5"/>
        <v>970000</v>
      </c>
      <c r="AM39" s="47">
        <f t="shared" si="6"/>
        <v>2820000</v>
      </c>
      <c r="AN39" s="40">
        <f t="shared" si="14"/>
        <v>0</v>
      </c>
      <c r="AO39" s="47"/>
      <c r="AP39" s="110">
        <f t="shared" si="7"/>
        <v>0</v>
      </c>
      <c r="AQ39" s="47">
        <f t="shared" si="26"/>
        <v>0</v>
      </c>
      <c r="AR39" s="47"/>
      <c r="AS39" s="40">
        <v>0</v>
      </c>
      <c r="AT39" s="40" t="s">
        <v>82</v>
      </c>
      <c r="AU39" s="42">
        <f t="shared" si="25"/>
        <v>0</v>
      </c>
      <c r="AV39" s="43" t="str">
        <f t="shared" si="8"/>
        <v xml:space="preserve">Reski Elvira Sari S.Pd </v>
      </c>
      <c r="AW39" s="55">
        <f t="shared" si="21"/>
        <v>2820000</v>
      </c>
    </row>
    <row r="40" spans="1:49" s="9" customFormat="1" ht="14.5">
      <c r="A40" s="70">
        <v>30</v>
      </c>
      <c r="B40" s="111" t="str">
        <f>'Data Base Guru SD'!B37</f>
        <v>Andini Putri Patrisia</v>
      </c>
      <c r="C40" s="111" t="str">
        <f>'Data Base Guru SD'!J37</f>
        <v>TU</v>
      </c>
      <c r="D40" s="113">
        <f t="shared" si="27"/>
        <v>24</v>
      </c>
      <c r="E40" s="113">
        <v>24</v>
      </c>
      <c r="F40" s="113">
        <f t="shared" si="9"/>
        <v>24</v>
      </c>
      <c r="G40" s="113">
        <v>0</v>
      </c>
      <c r="H40" s="113">
        <f t="shared" si="10"/>
        <v>24</v>
      </c>
      <c r="I40" s="114">
        <v>0</v>
      </c>
      <c r="J40" s="113">
        <v>0</v>
      </c>
      <c r="K40" s="113">
        <f t="shared" si="11"/>
        <v>24</v>
      </c>
      <c r="L40" s="113">
        <v>0</v>
      </c>
      <c r="M40" s="113">
        <v>0</v>
      </c>
      <c r="O40" s="9">
        <v>0</v>
      </c>
      <c r="P40" s="9" t="str">
        <f>'Data Base Guru SD'!R37</f>
        <v>SMA</v>
      </c>
      <c r="Q40" s="9" t="str">
        <f ca="1">'Data Base Guru SD'!F37</f>
        <v>0 Tahun 6 Bulan 9 Hari</v>
      </c>
      <c r="R40" s="51">
        <v>0</v>
      </c>
      <c r="S40" s="51" t="str">
        <f>'Data Base Guru SD'!G37</f>
        <v>PK</v>
      </c>
      <c r="T40" s="153">
        <v>300000</v>
      </c>
      <c r="U40" s="40"/>
      <c r="V40" s="21">
        <f>'Data Base Guru SD'!X37</f>
        <v>0</v>
      </c>
      <c r="W40" s="40">
        <f t="shared" si="12"/>
        <v>0</v>
      </c>
      <c r="X40" s="40">
        <f t="shared" si="18"/>
        <v>300000</v>
      </c>
      <c r="Y40" s="41"/>
      <c r="Z40" s="41"/>
      <c r="AA40" s="41">
        <v>100000</v>
      </c>
      <c r="AB40" s="41"/>
      <c r="AC40" s="41"/>
      <c r="AD40" s="41"/>
      <c r="AE40" s="109">
        <f t="shared" si="1"/>
        <v>100000</v>
      </c>
      <c r="AF40" s="41">
        <f t="shared" si="2"/>
        <v>240000</v>
      </c>
      <c r="AG40" s="40">
        <f t="shared" si="3"/>
        <v>120000</v>
      </c>
      <c r="AH40" s="40">
        <f t="shared" si="4"/>
        <v>120000</v>
      </c>
      <c r="AI40" s="40">
        <f t="shared" si="13"/>
        <v>0</v>
      </c>
      <c r="AJ40" s="40">
        <v>150000</v>
      </c>
      <c r="AK40" s="40"/>
      <c r="AL40" s="40">
        <f t="shared" si="5"/>
        <v>730000</v>
      </c>
      <c r="AM40" s="47">
        <f t="shared" si="6"/>
        <v>1030000</v>
      </c>
      <c r="AN40" s="40">
        <f t="shared" si="14"/>
        <v>0</v>
      </c>
      <c r="AO40" s="47"/>
      <c r="AP40" s="110">
        <f t="shared" si="7"/>
        <v>0</v>
      </c>
      <c r="AQ40" s="47">
        <f t="shared" si="26"/>
        <v>0</v>
      </c>
      <c r="AR40" s="47"/>
      <c r="AS40" s="40">
        <v>0</v>
      </c>
      <c r="AT40" s="40" t="s">
        <v>82</v>
      </c>
      <c r="AU40" s="42">
        <f t="shared" si="25"/>
        <v>0</v>
      </c>
      <c r="AV40" s="43" t="str">
        <f t="shared" si="8"/>
        <v>Andini Putri Patrisia</v>
      </c>
      <c r="AW40" s="55">
        <f t="shared" si="21"/>
        <v>1030000</v>
      </c>
    </row>
    <row r="41" spans="1:49" s="9" customFormat="1" ht="14.5">
      <c r="A41" s="70">
        <v>31</v>
      </c>
      <c r="B41" s="111" t="str">
        <f>'Data Base Guru SD'!B38</f>
        <v>Maya Puspita Djasnah S.Pd</v>
      </c>
      <c r="C41" s="111" t="str">
        <f>'Data Base Guru SD'!J38</f>
        <v>Wali Kelas</v>
      </c>
      <c r="D41" s="113">
        <f t="shared" si="27"/>
        <v>24</v>
      </c>
      <c r="E41" s="113">
        <v>24</v>
      </c>
      <c r="F41" s="113">
        <f t="shared" si="9"/>
        <v>24</v>
      </c>
      <c r="G41" s="113">
        <v>0</v>
      </c>
      <c r="H41" s="113">
        <f t="shared" si="10"/>
        <v>24</v>
      </c>
      <c r="I41" s="114">
        <v>0</v>
      </c>
      <c r="J41" s="113">
        <v>0</v>
      </c>
      <c r="K41" s="113">
        <f t="shared" si="11"/>
        <v>24</v>
      </c>
      <c r="L41" s="113">
        <v>0</v>
      </c>
      <c r="M41" s="113">
        <v>0</v>
      </c>
      <c r="O41" s="9">
        <v>48</v>
      </c>
      <c r="P41" s="9" t="str">
        <f>'Data Base Guru SD'!R38</f>
        <v>S1</v>
      </c>
      <c r="Q41" s="9" t="str">
        <f ca="1">'Data Base Guru SD'!F38</f>
        <v>3 Tahun 11 Bulan 9 Hari</v>
      </c>
      <c r="R41" s="51">
        <v>3</v>
      </c>
      <c r="S41" s="51" t="str">
        <f>'Data Base Guru SD'!G38</f>
        <v>PT</v>
      </c>
      <c r="T41" s="153">
        <v>1850000</v>
      </c>
      <c r="U41" s="40"/>
      <c r="V41" s="21">
        <f>'Data Base Guru SD'!X38</f>
        <v>2</v>
      </c>
      <c r="W41" s="40">
        <f t="shared" si="12"/>
        <v>40000</v>
      </c>
      <c r="X41" s="40">
        <f t="shared" si="18"/>
        <v>1890000</v>
      </c>
      <c r="Y41" s="41"/>
      <c r="Z41" s="41"/>
      <c r="AA41" s="41">
        <v>100000</v>
      </c>
      <c r="AB41" s="41"/>
      <c r="AC41" s="41"/>
      <c r="AD41" s="41"/>
      <c r="AE41" s="109">
        <f t="shared" si="1"/>
        <v>100000</v>
      </c>
      <c r="AF41" s="41">
        <f t="shared" si="2"/>
        <v>240000</v>
      </c>
      <c r="AG41" s="40">
        <f t="shared" si="3"/>
        <v>120000</v>
      </c>
      <c r="AH41" s="40">
        <f t="shared" si="4"/>
        <v>120000</v>
      </c>
      <c r="AI41" s="40">
        <f t="shared" si="13"/>
        <v>240000</v>
      </c>
      <c r="AJ41" s="40">
        <v>150000</v>
      </c>
      <c r="AK41" s="40"/>
      <c r="AL41" s="40">
        <f t="shared" si="5"/>
        <v>970000</v>
      </c>
      <c r="AM41" s="47">
        <f t="shared" si="6"/>
        <v>2860000</v>
      </c>
      <c r="AN41" s="40">
        <f t="shared" si="14"/>
        <v>0</v>
      </c>
      <c r="AO41" s="47"/>
      <c r="AP41" s="110">
        <f t="shared" si="7"/>
        <v>0</v>
      </c>
      <c r="AQ41" s="47">
        <f t="shared" si="26"/>
        <v>0</v>
      </c>
      <c r="AR41" s="47"/>
      <c r="AS41" s="40">
        <v>0</v>
      </c>
      <c r="AT41" s="40" t="s">
        <v>82</v>
      </c>
      <c r="AU41" s="42">
        <f t="shared" si="25"/>
        <v>0</v>
      </c>
      <c r="AV41" s="43" t="str">
        <f t="shared" si="8"/>
        <v>Maya Puspita Djasnah S.Pd</v>
      </c>
      <c r="AW41" s="55">
        <f t="shared" si="21"/>
        <v>2860000</v>
      </c>
    </row>
    <row r="42" spans="1:49" s="9" customFormat="1" ht="14.5">
      <c r="A42" s="70">
        <v>32</v>
      </c>
      <c r="B42" s="111" t="str">
        <f>'Data Base Guru SD'!B39</f>
        <v>Elvira Fitriana S.Pd</v>
      </c>
      <c r="C42" s="111" t="str">
        <f>'Data Base Guru SD'!J39</f>
        <v>Wali Kelas</v>
      </c>
      <c r="D42" s="113">
        <f t="shared" si="27"/>
        <v>24</v>
      </c>
      <c r="E42" s="113">
        <v>24</v>
      </c>
      <c r="F42" s="113">
        <f t="shared" si="9"/>
        <v>24</v>
      </c>
      <c r="G42" s="113">
        <v>0</v>
      </c>
      <c r="H42" s="113">
        <f t="shared" si="10"/>
        <v>24</v>
      </c>
      <c r="I42" s="114">
        <v>0</v>
      </c>
      <c r="J42" s="113">
        <v>0</v>
      </c>
      <c r="K42" s="113">
        <f t="shared" si="11"/>
        <v>24</v>
      </c>
      <c r="L42" s="113">
        <v>0</v>
      </c>
      <c r="M42" s="113">
        <v>0</v>
      </c>
      <c r="O42" s="9">
        <v>48</v>
      </c>
      <c r="P42" s="9" t="str">
        <f>'Data Base Guru SD'!R39</f>
        <v>S1</v>
      </c>
      <c r="Q42" s="9" t="str">
        <f ca="1">'Data Base Guru SD'!F39</f>
        <v>2 Tahun 9 Bulan 9 Hari</v>
      </c>
      <c r="R42" s="51">
        <v>2</v>
      </c>
      <c r="S42" s="51" t="str">
        <f>'Data Base Guru SD'!G39</f>
        <v>PK</v>
      </c>
      <c r="T42" s="153">
        <v>550000</v>
      </c>
      <c r="U42" s="40"/>
      <c r="V42" s="21">
        <f>'Data Base Guru SD'!X39</f>
        <v>2</v>
      </c>
      <c r="W42" s="40">
        <f t="shared" si="12"/>
        <v>40000</v>
      </c>
      <c r="X42" s="40">
        <f t="shared" si="18"/>
        <v>590000</v>
      </c>
      <c r="Y42" s="41"/>
      <c r="Z42" s="41"/>
      <c r="AA42" s="41">
        <v>100000</v>
      </c>
      <c r="AB42" s="41"/>
      <c r="AC42" s="41"/>
      <c r="AD42" s="41"/>
      <c r="AE42" s="109">
        <f t="shared" si="1"/>
        <v>100000</v>
      </c>
      <c r="AF42" s="41">
        <f t="shared" si="2"/>
        <v>240000</v>
      </c>
      <c r="AG42" s="40">
        <f t="shared" si="3"/>
        <v>120000</v>
      </c>
      <c r="AH42" s="40">
        <f t="shared" si="4"/>
        <v>120000</v>
      </c>
      <c r="AI42" s="40">
        <f t="shared" si="13"/>
        <v>240000</v>
      </c>
      <c r="AJ42" s="40">
        <v>150000</v>
      </c>
      <c r="AK42" s="40"/>
      <c r="AL42" s="40">
        <f t="shared" si="5"/>
        <v>970000</v>
      </c>
      <c r="AM42" s="47">
        <f t="shared" si="6"/>
        <v>1560000</v>
      </c>
      <c r="AN42" s="40">
        <f t="shared" si="14"/>
        <v>0</v>
      </c>
      <c r="AO42" s="47"/>
      <c r="AP42" s="110">
        <f t="shared" si="7"/>
        <v>0</v>
      </c>
      <c r="AQ42" s="47">
        <f t="shared" si="26"/>
        <v>0</v>
      </c>
      <c r="AR42" s="47"/>
      <c r="AS42" s="40">
        <v>0</v>
      </c>
      <c r="AT42" s="40" t="s">
        <v>82</v>
      </c>
      <c r="AU42" s="42">
        <f t="shared" si="25"/>
        <v>0</v>
      </c>
      <c r="AV42" s="43" t="str">
        <f t="shared" si="8"/>
        <v>Elvira Fitriana S.Pd</v>
      </c>
      <c r="AW42" s="55">
        <f t="shared" si="21"/>
        <v>1560000</v>
      </c>
    </row>
    <row r="43" spans="1:49" s="9" customFormat="1" ht="14.5">
      <c r="A43" s="70">
        <v>33</v>
      </c>
      <c r="B43" s="111" t="str">
        <f>'Data Base Guru SD'!B40</f>
        <v>Maya Prasetya S.E</v>
      </c>
      <c r="C43" s="111" t="str">
        <f>'Data Base Guru SD'!J40</f>
        <v>Guru Mapel (mengaji)</v>
      </c>
      <c r="D43" s="113">
        <f t="shared" si="27"/>
        <v>24</v>
      </c>
      <c r="E43" s="113">
        <v>24</v>
      </c>
      <c r="F43" s="113">
        <f t="shared" si="9"/>
        <v>24</v>
      </c>
      <c r="G43" s="113">
        <v>0</v>
      </c>
      <c r="H43" s="113">
        <f t="shared" si="10"/>
        <v>24</v>
      </c>
      <c r="I43" s="114">
        <v>0</v>
      </c>
      <c r="J43" s="113">
        <v>0</v>
      </c>
      <c r="K43" s="113">
        <f t="shared" si="11"/>
        <v>24</v>
      </c>
      <c r="L43" s="113">
        <v>0</v>
      </c>
      <c r="M43" s="113">
        <v>0</v>
      </c>
      <c r="O43" s="9">
        <v>0</v>
      </c>
      <c r="P43" s="9" t="str">
        <f>'Data Base Guru SD'!R40</f>
        <v>S1</v>
      </c>
      <c r="Q43" s="9" t="str">
        <f ca="1">'Data Base Guru SD'!F40</f>
        <v>2 Tahun 9 Bulan 9 Hari</v>
      </c>
      <c r="R43" s="51">
        <v>2</v>
      </c>
      <c r="S43" s="51" t="str">
        <f>'Data Base Guru SD'!G40</f>
        <v>PK</v>
      </c>
      <c r="T43" s="153">
        <v>550000</v>
      </c>
      <c r="U43" s="40"/>
      <c r="V43" s="21">
        <f>'Data Base Guru SD'!X40</f>
        <v>2</v>
      </c>
      <c r="W43" s="40">
        <f t="shared" si="12"/>
        <v>40000</v>
      </c>
      <c r="X43" s="40">
        <f t="shared" si="18"/>
        <v>590000</v>
      </c>
      <c r="Y43" s="41"/>
      <c r="Z43" s="41"/>
      <c r="AA43" s="41">
        <v>100000</v>
      </c>
      <c r="AB43" s="41"/>
      <c r="AC43" s="41"/>
      <c r="AD43" s="41"/>
      <c r="AE43" s="109">
        <f t="shared" si="1"/>
        <v>100000</v>
      </c>
      <c r="AF43" s="41">
        <f t="shared" si="2"/>
        <v>240000</v>
      </c>
      <c r="AG43" s="40">
        <f t="shared" si="3"/>
        <v>120000</v>
      </c>
      <c r="AH43" s="40">
        <f t="shared" si="4"/>
        <v>120000</v>
      </c>
      <c r="AI43" s="40">
        <f t="shared" si="13"/>
        <v>0</v>
      </c>
      <c r="AJ43" s="40">
        <v>150000</v>
      </c>
      <c r="AK43" s="40"/>
      <c r="AL43" s="40">
        <f t="shared" si="5"/>
        <v>730000</v>
      </c>
      <c r="AM43" s="47">
        <f t="shared" si="6"/>
        <v>1320000</v>
      </c>
      <c r="AN43" s="40">
        <f t="shared" si="14"/>
        <v>0</v>
      </c>
      <c r="AO43" s="47"/>
      <c r="AP43" s="110">
        <f t="shared" si="7"/>
        <v>0</v>
      </c>
      <c r="AQ43" s="47">
        <f t="shared" si="26"/>
        <v>0</v>
      </c>
      <c r="AR43" s="47"/>
      <c r="AS43" s="40">
        <v>0</v>
      </c>
      <c r="AT43" s="40" t="s">
        <v>82</v>
      </c>
      <c r="AU43" s="42">
        <f t="shared" si="25"/>
        <v>0</v>
      </c>
      <c r="AV43" s="43" t="str">
        <f t="shared" si="8"/>
        <v>Maya Prasetya S.E</v>
      </c>
      <c r="AW43" s="55">
        <f t="shared" si="21"/>
        <v>1320000</v>
      </c>
    </row>
    <row r="44" spans="1:49" s="9" customFormat="1" ht="14.5">
      <c r="A44" s="70">
        <v>34</v>
      </c>
      <c r="B44" s="111" t="str">
        <f>'Data Base Guru SD'!B41</f>
        <v>Muthia</v>
      </c>
      <c r="C44" s="111" t="str">
        <f>'Data Base Guru SD'!J41</f>
        <v>Guru Mapel (mengaji)</v>
      </c>
      <c r="D44" s="113">
        <f t="shared" si="27"/>
        <v>24</v>
      </c>
      <c r="E44" s="113">
        <v>24</v>
      </c>
      <c r="F44" s="113">
        <f t="shared" si="9"/>
        <v>24</v>
      </c>
      <c r="G44" s="113">
        <v>0</v>
      </c>
      <c r="H44" s="113">
        <f t="shared" si="10"/>
        <v>24</v>
      </c>
      <c r="I44" s="114">
        <v>0</v>
      </c>
      <c r="J44" s="113">
        <v>0</v>
      </c>
      <c r="K44" s="113">
        <f t="shared" si="11"/>
        <v>24</v>
      </c>
      <c r="L44" s="113">
        <v>0</v>
      </c>
      <c r="M44" s="113">
        <v>0</v>
      </c>
      <c r="O44" s="9">
        <v>40</v>
      </c>
      <c r="P44" s="9" t="str">
        <f>'Data Base Guru SD'!R41</f>
        <v>SMA</v>
      </c>
      <c r="Q44" s="9" t="str">
        <f ca="1">'Data Base Guru SD'!F41</f>
        <v>2 Tahun 1 Bulan 9 Hari</v>
      </c>
      <c r="R44" s="51">
        <v>2</v>
      </c>
      <c r="S44" s="51" t="str">
        <f>'Data Base Guru SD'!G41</f>
        <v>PK</v>
      </c>
      <c r="T44" s="153">
        <v>550000</v>
      </c>
      <c r="U44" s="40"/>
      <c r="V44" s="21">
        <f>'Data Base Guru SD'!X41</f>
        <v>0</v>
      </c>
      <c r="W44" s="40">
        <f t="shared" si="12"/>
        <v>0</v>
      </c>
      <c r="X44" s="40">
        <f t="shared" si="18"/>
        <v>550000</v>
      </c>
      <c r="Y44" s="41"/>
      <c r="Z44" s="41"/>
      <c r="AA44" s="41"/>
      <c r="AB44" s="41"/>
      <c r="AC44" s="41"/>
      <c r="AD44" s="41"/>
      <c r="AE44" s="109">
        <f t="shared" si="1"/>
        <v>0</v>
      </c>
      <c r="AF44" s="41">
        <f t="shared" si="2"/>
        <v>240000</v>
      </c>
      <c r="AG44" s="40">
        <f t="shared" si="3"/>
        <v>120000</v>
      </c>
      <c r="AH44" s="40">
        <f t="shared" si="4"/>
        <v>120000</v>
      </c>
      <c r="AI44" s="40">
        <f t="shared" si="13"/>
        <v>200000</v>
      </c>
      <c r="AJ44" s="40">
        <v>150000</v>
      </c>
      <c r="AK44" s="40"/>
      <c r="AL44" s="40">
        <f t="shared" si="5"/>
        <v>830000</v>
      </c>
      <c r="AM44" s="47">
        <f t="shared" si="6"/>
        <v>1380000</v>
      </c>
      <c r="AN44" s="40">
        <f t="shared" si="14"/>
        <v>0</v>
      </c>
      <c r="AO44" s="47"/>
      <c r="AP44" s="110">
        <f t="shared" si="7"/>
        <v>0</v>
      </c>
      <c r="AQ44" s="47">
        <f t="shared" si="26"/>
        <v>0</v>
      </c>
      <c r="AR44" s="47"/>
      <c r="AS44" s="40">
        <v>0</v>
      </c>
      <c r="AT44" s="40" t="s">
        <v>82</v>
      </c>
      <c r="AU44" s="42">
        <f t="shared" si="25"/>
        <v>0</v>
      </c>
      <c r="AV44" s="43" t="str">
        <f t="shared" si="8"/>
        <v>Muthia</v>
      </c>
      <c r="AW44" s="55">
        <f t="shared" si="21"/>
        <v>1380000</v>
      </c>
    </row>
    <row r="45" spans="1:49" s="9" customFormat="1" ht="14.5">
      <c r="A45" s="70">
        <v>35</v>
      </c>
      <c r="B45" s="111" t="str">
        <f>'Data Base Guru SD'!B42</f>
        <v xml:space="preserve">Sabaria S.Pd </v>
      </c>
      <c r="C45" s="111" t="str">
        <f>'Data Base Guru SD'!J42</f>
        <v>Wali kelas</v>
      </c>
      <c r="D45" s="113">
        <f t="shared" si="27"/>
        <v>24</v>
      </c>
      <c r="E45" s="113">
        <v>24</v>
      </c>
      <c r="F45" s="113">
        <f t="shared" si="9"/>
        <v>24</v>
      </c>
      <c r="G45" s="113">
        <v>0</v>
      </c>
      <c r="H45" s="113">
        <f t="shared" si="10"/>
        <v>24</v>
      </c>
      <c r="I45" s="114">
        <v>0</v>
      </c>
      <c r="J45" s="113">
        <v>0</v>
      </c>
      <c r="K45" s="113">
        <f t="shared" si="11"/>
        <v>24</v>
      </c>
      <c r="L45" s="113">
        <v>0</v>
      </c>
      <c r="M45" s="113">
        <v>0</v>
      </c>
      <c r="O45" s="9">
        <v>48</v>
      </c>
      <c r="P45" s="9" t="str">
        <f>'Data Base Guru SD'!R42</f>
        <v>S1</v>
      </c>
      <c r="Q45" s="9" t="str">
        <f ca="1">'Data Base Guru SD'!F42</f>
        <v>1 Tahun 10 Bulan 9 Hari</v>
      </c>
      <c r="R45" s="51">
        <v>1</v>
      </c>
      <c r="S45" s="51" t="str">
        <f>'Data Base Guru SD'!G42</f>
        <v>PK</v>
      </c>
      <c r="T45" s="153">
        <v>550000</v>
      </c>
      <c r="U45" s="40"/>
      <c r="V45" s="21">
        <f>'Data Base Guru SD'!X42</f>
        <v>1</v>
      </c>
      <c r="W45" s="40">
        <f t="shared" si="12"/>
        <v>20000</v>
      </c>
      <c r="X45" s="40">
        <f t="shared" si="18"/>
        <v>570000</v>
      </c>
      <c r="Y45" s="41"/>
      <c r="Z45" s="41"/>
      <c r="AA45" s="41">
        <v>100000</v>
      </c>
      <c r="AB45" s="41"/>
      <c r="AC45" s="41"/>
      <c r="AD45" s="41"/>
      <c r="AE45" s="109">
        <f t="shared" si="1"/>
        <v>100000</v>
      </c>
      <c r="AF45" s="41">
        <f t="shared" si="2"/>
        <v>240000</v>
      </c>
      <c r="AG45" s="40">
        <f t="shared" si="3"/>
        <v>120000</v>
      </c>
      <c r="AH45" s="40">
        <f t="shared" si="4"/>
        <v>120000</v>
      </c>
      <c r="AI45" s="40">
        <f t="shared" si="13"/>
        <v>240000</v>
      </c>
      <c r="AJ45" s="40">
        <v>150000</v>
      </c>
      <c r="AK45" s="40"/>
      <c r="AL45" s="40">
        <f t="shared" si="5"/>
        <v>970000</v>
      </c>
      <c r="AM45" s="47">
        <f t="shared" si="6"/>
        <v>1540000</v>
      </c>
      <c r="AN45" s="40">
        <f t="shared" si="14"/>
        <v>0</v>
      </c>
      <c r="AO45" s="47"/>
      <c r="AP45" s="110">
        <f t="shared" si="7"/>
        <v>0</v>
      </c>
      <c r="AQ45" s="47">
        <f t="shared" si="26"/>
        <v>0</v>
      </c>
      <c r="AR45" s="47"/>
      <c r="AS45" s="40">
        <v>0</v>
      </c>
      <c r="AT45" s="40" t="s">
        <v>82</v>
      </c>
      <c r="AU45" s="42">
        <f t="shared" si="25"/>
        <v>0</v>
      </c>
      <c r="AV45" s="43" t="str">
        <f t="shared" si="8"/>
        <v xml:space="preserve">Sabaria S.Pd </v>
      </c>
      <c r="AW45" s="55">
        <f t="shared" si="21"/>
        <v>1540000</v>
      </c>
    </row>
    <row r="46" spans="1:49" s="9" customFormat="1" ht="14.5">
      <c r="A46" s="70">
        <v>36</v>
      </c>
      <c r="B46" s="111" t="str">
        <f>'Data Base Guru SD'!B43</f>
        <v>Hera Nasruddin, S.Pd</v>
      </c>
      <c r="C46" s="111" t="str">
        <f>'Data Base Guru SD'!J43</f>
        <v>Guru Mapel (mengaji)</v>
      </c>
      <c r="D46" s="113">
        <f t="shared" si="27"/>
        <v>24</v>
      </c>
      <c r="E46" s="113">
        <v>24</v>
      </c>
      <c r="F46" s="113">
        <f t="shared" si="9"/>
        <v>24</v>
      </c>
      <c r="G46" s="113">
        <v>0</v>
      </c>
      <c r="H46" s="113">
        <f t="shared" si="10"/>
        <v>24</v>
      </c>
      <c r="I46" s="114">
        <v>0</v>
      </c>
      <c r="J46" s="113">
        <v>0</v>
      </c>
      <c r="K46" s="113">
        <f t="shared" si="11"/>
        <v>24</v>
      </c>
      <c r="L46" s="113">
        <v>0</v>
      </c>
      <c r="M46" s="113">
        <v>0</v>
      </c>
      <c r="O46" s="9">
        <v>40</v>
      </c>
      <c r="P46" s="9" t="str">
        <f>'Data Base Guru SD'!R43</f>
        <v>S1</v>
      </c>
      <c r="Q46" s="9" t="str">
        <f ca="1">'Data Base Guru SD'!F43</f>
        <v>1 Tahun 0 Bulan 9 Hari</v>
      </c>
      <c r="R46" s="51">
        <v>0</v>
      </c>
      <c r="S46" s="51" t="str">
        <f>'Data Base Guru SD'!G43</f>
        <v>PK</v>
      </c>
      <c r="T46" s="153">
        <v>550000</v>
      </c>
      <c r="U46" s="40"/>
      <c r="V46" s="21">
        <f>'Data Base Guru SD'!X43</f>
        <v>0</v>
      </c>
      <c r="W46" s="40">
        <f t="shared" si="12"/>
        <v>0</v>
      </c>
      <c r="X46" s="40">
        <f t="shared" si="18"/>
        <v>550000</v>
      </c>
      <c r="Y46" s="41"/>
      <c r="Z46" s="41"/>
      <c r="AA46" s="41"/>
      <c r="AB46" s="41"/>
      <c r="AC46" s="41"/>
      <c r="AD46" s="41"/>
      <c r="AE46" s="109">
        <f t="shared" si="1"/>
        <v>0</v>
      </c>
      <c r="AF46" s="41">
        <f t="shared" si="2"/>
        <v>240000</v>
      </c>
      <c r="AG46" s="40">
        <f t="shared" si="3"/>
        <v>120000</v>
      </c>
      <c r="AH46" s="40">
        <f t="shared" si="4"/>
        <v>120000</v>
      </c>
      <c r="AI46" s="40">
        <f t="shared" si="13"/>
        <v>200000</v>
      </c>
      <c r="AJ46" s="40">
        <v>150000</v>
      </c>
      <c r="AK46" s="40"/>
      <c r="AL46" s="40">
        <f t="shared" si="5"/>
        <v>830000</v>
      </c>
      <c r="AM46" s="47">
        <f t="shared" si="6"/>
        <v>1380000</v>
      </c>
      <c r="AN46" s="40">
        <f t="shared" si="14"/>
        <v>0</v>
      </c>
      <c r="AO46" s="47"/>
      <c r="AP46" s="110">
        <f t="shared" si="7"/>
        <v>0</v>
      </c>
      <c r="AQ46" s="47">
        <f t="shared" si="26"/>
        <v>0</v>
      </c>
      <c r="AR46" s="47"/>
      <c r="AS46" s="40">
        <v>0</v>
      </c>
      <c r="AT46" s="40" t="s">
        <v>82</v>
      </c>
      <c r="AU46" s="42">
        <f t="shared" si="25"/>
        <v>0</v>
      </c>
      <c r="AV46" s="43" t="str">
        <f t="shared" si="8"/>
        <v>Hera Nasruddin, S.Pd</v>
      </c>
      <c r="AW46" s="55">
        <f t="shared" si="21"/>
        <v>1380000</v>
      </c>
    </row>
    <row r="47" spans="1:49" s="9" customFormat="1">
      <c r="A47" s="70"/>
      <c r="B47" s="111"/>
      <c r="C47" s="111"/>
      <c r="D47" s="111"/>
      <c r="E47" s="20"/>
      <c r="F47" s="20"/>
      <c r="H47" s="20"/>
      <c r="K47" s="20"/>
      <c r="R47" s="51"/>
      <c r="S47" s="51"/>
      <c r="T47" s="48"/>
      <c r="U47" s="40"/>
      <c r="V47" s="21"/>
      <c r="W47" s="40"/>
      <c r="X47" s="40"/>
      <c r="Y47" s="41"/>
      <c r="Z47" s="41"/>
      <c r="AA47" s="41"/>
      <c r="AB47" s="41"/>
      <c r="AC47" s="41"/>
      <c r="AD47" s="41"/>
      <c r="AE47" s="41"/>
      <c r="AF47" s="41"/>
      <c r="AG47" s="40"/>
      <c r="AH47" s="40"/>
      <c r="AI47" s="40"/>
      <c r="AJ47" s="40"/>
      <c r="AK47" s="40"/>
      <c r="AL47" s="40"/>
      <c r="AM47" s="40"/>
      <c r="AN47" s="40"/>
      <c r="AO47" s="40"/>
      <c r="AP47" s="10"/>
      <c r="AQ47" s="40"/>
      <c r="AR47" s="40"/>
      <c r="AS47" s="40"/>
      <c r="AT47" s="40"/>
      <c r="AU47" s="42"/>
      <c r="AV47" s="43"/>
      <c r="AW47" s="55"/>
    </row>
    <row r="48" spans="1:49" s="9" customFormat="1">
      <c r="A48" s="70"/>
      <c r="B48" s="111"/>
      <c r="C48" s="111"/>
      <c r="D48" s="111"/>
      <c r="E48" s="20"/>
      <c r="F48" s="20"/>
      <c r="H48" s="20"/>
      <c r="K48" s="20"/>
      <c r="R48" s="51"/>
      <c r="S48" s="51"/>
      <c r="T48" s="48"/>
      <c r="U48" s="40"/>
      <c r="V48" s="21"/>
      <c r="W48" s="40"/>
      <c r="X48" s="40"/>
      <c r="Y48" s="41"/>
      <c r="Z48" s="41"/>
      <c r="AA48" s="41"/>
      <c r="AB48" s="41"/>
      <c r="AC48" s="41"/>
      <c r="AD48" s="41"/>
      <c r="AE48" s="41"/>
      <c r="AF48" s="41"/>
      <c r="AG48" s="40"/>
      <c r="AH48" s="40"/>
      <c r="AI48" s="40"/>
      <c r="AJ48" s="40"/>
      <c r="AK48" s="40"/>
      <c r="AL48" s="40"/>
      <c r="AM48" s="40"/>
      <c r="AN48" s="40"/>
      <c r="AO48" s="40"/>
      <c r="AP48" s="10"/>
      <c r="AQ48" s="40"/>
      <c r="AR48" s="40"/>
      <c r="AS48" s="40"/>
      <c r="AT48" s="40"/>
      <c r="AU48" s="42"/>
      <c r="AV48" s="43"/>
      <c r="AW48" s="55">
        <f>SUM(AW11:AW46)</f>
        <v>93785000</v>
      </c>
    </row>
    <row r="49" spans="1:49" s="9" customFormat="1">
      <c r="A49" s="70"/>
      <c r="B49" s="111">
        <f>'Data Base Guru SD'!B44</f>
        <v>0</v>
      </c>
      <c r="C49" s="111"/>
      <c r="D49" s="111"/>
      <c r="E49" s="20"/>
      <c r="F49" s="20"/>
      <c r="H49" s="20"/>
      <c r="K49" s="20"/>
      <c r="Q49" s="9">
        <f>'Data Base Guru SD'!F44</f>
        <v>0</v>
      </c>
      <c r="R49" s="51"/>
      <c r="S49" s="51"/>
      <c r="T49" s="48"/>
      <c r="U49" s="40"/>
      <c r="V49" s="21"/>
      <c r="W49" s="40"/>
      <c r="X49" s="40"/>
      <c r="Y49" s="41"/>
      <c r="Z49" s="41"/>
      <c r="AA49" s="41"/>
      <c r="AB49" s="41"/>
      <c r="AC49" s="41"/>
      <c r="AD49" s="41"/>
      <c r="AE49" s="41"/>
      <c r="AF49" s="41"/>
      <c r="AG49" s="40"/>
      <c r="AH49" s="40"/>
      <c r="AI49" s="40"/>
      <c r="AJ49" s="40"/>
      <c r="AK49" s="40"/>
      <c r="AL49" s="40"/>
      <c r="AM49" s="40"/>
      <c r="AN49" s="40"/>
      <c r="AO49" s="40"/>
      <c r="AP49" s="10"/>
      <c r="AQ49" s="40"/>
      <c r="AR49" s="40"/>
      <c r="AS49" s="40"/>
      <c r="AT49" s="40"/>
      <c r="AU49" s="42"/>
      <c r="AV49" s="43"/>
      <c r="AW49" s="55"/>
    </row>
    <row r="50" spans="1:49">
      <c r="A50" s="61"/>
      <c r="B50" s="67"/>
      <c r="C50" s="67"/>
      <c r="D50" s="67"/>
      <c r="E50" s="68"/>
      <c r="T50" s="62"/>
      <c r="U50" s="60"/>
      <c r="V50" s="63"/>
      <c r="W50" s="54"/>
      <c r="X50" s="54"/>
      <c r="Y50" s="64"/>
      <c r="Z50" s="64"/>
      <c r="AA50" s="64"/>
      <c r="AB50" s="64"/>
      <c r="AC50" s="64"/>
      <c r="AD50" s="64"/>
      <c r="AE50" s="64"/>
      <c r="AF50" s="64"/>
      <c r="AG50" s="54"/>
      <c r="AH50" s="54"/>
      <c r="AI50" s="60"/>
      <c r="AJ50" s="60"/>
      <c r="AK50" s="69"/>
      <c r="AL50" s="54"/>
      <c r="AM50" s="54"/>
      <c r="AN50" s="54"/>
      <c r="AO50" s="60"/>
      <c r="AP50" s="65"/>
      <c r="AQ50" s="60"/>
      <c r="AR50" s="60"/>
      <c r="AS50" s="60"/>
      <c r="AT50" s="60"/>
      <c r="AU50" s="54"/>
      <c r="AV50" s="66"/>
      <c r="AW50" s="46"/>
    </row>
    <row r="51" spans="1:49">
      <c r="A51" s="61"/>
      <c r="B51" s="67"/>
      <c r="C51" s="67"/>
      <c r="D51" s="67"/>
      <c r="E51" s="68"/>
      <c r="T51" s="62"/>
      <c r="U51" s="60"/>
      <c r="V51" s="63"/>
      <c r="W51" s="54"/>
      <c r="X51" s="54"/>
      <c r="Y51" s="64"/>
      <c r="Z51" s="64"/>
      <c r="AA51" s="64"/>
      <c r="AB51" s="64"/>
      <c r="AC51" s="64"/>
      <c r="AD51" s="64"/>
      <c r="AE51" s="64"/>
      <c r="AF51" s="64"/>
      <c r="AG51" s="54"/>
      <c r="AH51" s="54"/>
      <c r="AI51" s="60"/>
      <c r="AJ51" s="60"/>
      <c r="AK51" s="69"/>
      <c r="AL51" s="54"/>
      <c r="AM51" s="54"/>
      <c r="AN51" s="54"/>
      <c r="AO51" s="60"/>
      <c r="AP51" s="65"/>
      <c r="AQ51" s="60"/>
      <c r="AR51" s="60"/>
      <c r="AS51" s="60"/>
      <c r="AT51" s="60"/>
      <c r="AU51" s="54"/>
      <c r="AV51" s="66"/>
      <c r="AW51" s="46"/>
    </row>
    <row r="66" spans="15:17">
      <c r="O66" s="53"/>
      <c r="P66" s="53"/>
      <c r="Q66" s="53"/>
    </row>
    <row r="67" spans="15:17" ht="14.15" customHeight="1">
      <c r="O67" s="78"/>
      <c r="P67" s="78"/>
      <c r="Q67" s="78"/>
    </row>
    <row r="68" spans="15:17">
      <c r="O68" s="78"/>
      <c r="P68" s="78"/>
      <c r="Q68" s="78"/>
    </row>
    <row r="69" spans="15:17">
      <c r="O69" s="78"/>
      <c r="P69" s="78"/>
      <c r="Q69" s="78"/>
    </row>
  </sheetData>
  <mergeCells count="47">
    <mergeCell ref="S8:S10"/>
    <mergeCell ref="R8:R10"/>
    <mergeCell ref="Y9:Y10"/>
    <mergeCell ref="AW8:AW10"/>
    <mergeCell ref="AU8:AU10"/>
    <mergeCell ref="AV8:AV10"/>
    <mergeCell ref="AO9:AO10"/>
    <mergeCell ref="AL8:AL10"/>
    <mergeCell ref="AM8:AM10"/>
    <mergeCell ref="AP9:AP10"/>
    <mergeCell ref="AR9:AR10"/>
    <mergeCell ref="AS9:AS10"/>
    <mergeCell ref="AQ9:AQ10"/>
    <mergeCell ref="AT9:AT10"/>
    <mergeCell ref="AN8:AP8"/>
    <mergeCell ref="AN9:AN10"/>
    <mergeCell ref="H8:H10"/>
    <mergeCell ref="I8:I10"/>
    <mergeCell ref="K8:K10"/>
    <mergeCell ref="Q8:Q10"/>
    <mergeCell ref="P8:P10"/>
    <mergeCell ref="O8:O10"/>
    <mergeCell ref="J8:J10"/>
    <mergeCell ref="L8:L10"/>
    <mergeCell ref="N8:N10"/>
    <mergeCell ref="M8:M10"/>
    <mergeCell ref="A8:A10"/>
    <mergeCell ref="B8:B10"/>
    <mergeCell ref="E8:E10"/>
    <mergeCell ref="F8:F10"/>
    <mergeCell ref="G8:G10"/>
    <mergeCell ref="D8:D10"/>
    <mergeCell ref="C8:C10"/>
    <mergeCell ref="T9:T10"/>
    <mergeCell ref="T8:W8"/>
    <mergeCell ref="X8:X10"/>
    <mergeCell ref="Y8:AK8"/>
    <mergeCell ref="AE9:AE10"/>
    <mergeCell ref="AA9:AD9"/>
    <mergeCell ref="AF9:AF10"/>
    <mergeCell ref="Z9:Z10"/>
    <mergeCell ref="AG9:AG10"/>
    <mergeCell ref="AH9:AH10"/>
    <mergeCell ref="AJ9:AJ10"/>
    <mergeCell ref="AI9:AI10"/>
    <mergeCell ref="U9:W9"/>
    <mergeCell ref="AK9:AK10"/>
  </mergeCells>
  <phoneticPr fontId="7" type="noConversion"/>
  <pageMargins left="0.70866141732283461" right="0.70866141732283461" top="0.74803149606299213" bottom="0.74803149606299213" header="0.31496062992125984" footer="0.31496062992125984"/>
  <pageSetup paperSize="256" scale="56" orientation="landscape" horizontalDpi="4294967293" verticalDpi="300" r:id="rId1"/>
  <colBreaks count="1" manualBreakCount="1">
    <brk id="31" max="57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35"/>
  <sheetViews>
    <sheetView topLeftCell="A23" zoomScale="130" zoomScaleNormal="130" workbookViewId="0">
      <selection activeCell="D29" sqref="D29"/>
    </sheetView>
  </sheetViews>
  <sheetFormatPr defaultColWidth="9.1796875" defaultRowHeight="14.5"/>
  <cols>
    <col min="1" max="1" width="9.1796875" style="22"/>
    <col min="2" max="2" width="11.1796875" style="22" customWidth="1"/>
    <col min="3" max="3" width="26.7265625" style="22" customWidth="1"/>
    <col min="4" max="4" width="24.1796875" style="22" customWidth="1"/>
    <col min="5" max="5" width="19.1796875" style="22" customWidth="1"/>
    <col min="6" max="16384" width="9.1796875" style="22"/>
  </cols>
  <sheetData>
    <row r="2" spans="1:8" ht="15" thickBot="1"/>
    <row r="3" spans="1:8">
      <c r="A3" s="23"/>
      <c r="B3" s="24"/>
      <c r="C3" s="24"/>
      <c r="D3" s="264" t="s">
        <v>39</v>
      </c>
      <c r="E3" s="265"/>
      <c r="H3" s="266">
        <v>1</v>
      </c>
    </row>
    <row r="4" spans="1:8">
      <c r="A4" s="25"/>
      <c r="D4" s="267" t="s">
        <v>45</v>
      </c>
      <c r="E4" s="268"/>
      <c r="H4" s="266"/>
    </row>
    <row r="5" spans="1:8">
      <c r="A5" s="25"/>
      <c r="D5" s="26" t="s">
        <v>46</v>
      </c>
      <c r="E5" s="34">
        <f>IF(LEN(VLOOKUP(H3,'SDIT IR Malili '!$A$11:$AW$49,20,FALSE))=0," ",VLOOKUP(H3,'SDIT IR Malili '!$A$11:$AW$49,20,FALSE))</f>
        <v>2100000</v>
      </c>
    </row>
    <row r="6" spans="1:8">
      <c r="A6" s="25"/>
      <c r="D6" s="26" t="s">
        <v>47</v>
      </c>
      <c r="E6" s="34" t="str">
        <f>IF(LEN(VLOOKUP(H3,'SDIT IR Malili '!$A$11:$AW$49,21,FALSE))=0," ",VLOOKUP(H3,'SDIT IR Malili '!$A$11:$AW$49,21,FALSE))</f>
        <v xml:space="preserve"> </v>
      </c>
    </row>
    <row r="7" spans="1:8">
      <c r="A7" s="269" t="s">
        <v>40</v>
      </c>
      <c r="B7" s="270"/>
      <c r="C7" s="271"/>
      <c r="D7" s="26" t="s">
        <v>48</v>
      </c>
      <c r="E7" s="34">
        <f>IF(LEN(VLOOKUP(H3,'SDIT IR Malili '!$A$11:$AW$49,23,FALSE))=0,"0",VLOOKUP(H3,'SDIT IR Malili '!$A$11:$AW$49,23,FALSE))</f>
        <v>140000</v>
      </c>
    </row>
    <row r="8" spans="1:8">
      <c r="A8" s="25" t="s">
        <v>31</v>
      </c>
      <c r="B8" s="272">
        <f>IF(LEN(VLOOKUP(H3,'SDIT IR Malili '!$A$11:$AW$49,1,FALSE))=0," ",VLOOKUP(H3,'SDIT IR Malili '!$A$11:$AW$49,1,FALSE))</f>
        <v>1</v>
      </c>
      <c r="C8" s="273"/>
      <c r="D8" s="27" t="s">
        <v>49</v>
      </c>
      <c r="E8" s="35">
        <f>SUM(E5:E7)</f>
        <v>2240000</v>
      </c>
    </row>
    <row r="9" spans="1:8">
      <c r="A9" s="25" t="s">
        <v>38</v>
      </c>
      <c r="B9" s="272" t="str">
        <f>IF(LEN(VLOOKUP(H3,'SDIT IR Malili '!$A$11:$AW$49,2,FALSE))=0," ",VLOOKUP(H3,'SDIT IR Malili '!$A$11:$AW$49,2,FALSE))</f>
        <v>Hasmiati, S.Pd</v>
      </c>
      <c r="C9" s="273"/>
      <c r="D9" s="33" t="s">
        <v>50</v>
      </c>
      <c r="E9" s="36"/>
    </row>
    <row r="10" spans="1:8">
      <c r="A10" s="25"/>
      <c r="C10" s="56"/>
      <c r="D10" s="26" t="s">
        <v>51</v>
      </c>
      <c r="E10" s="34">
        <f>IF(LEN(VLOOKUP(H3,'SDIT IR Malili '!$A$11:$AW$49,25,FALSE))=0,"0",VLOOKUP(H3,'SDIT IR Malili '!$A$11:$AW$49,25,FALSE))</f>
        <v>400000</v>
      </c>
    </row>
    <row r="11" spans="1:8" ht="15.75" customHeight="1">
      <c r="A11" s="274" t="str">
        <f>'SDIT IR Malili '!B3</f>
        <v>Periode 26 Juni 2026 s/d 25 Juli 2026</v>
      </c>
      <c r="B11" s="275"/>
      <c r="C11" s="276"/>
      <c r="D11" s="26" t="s">
        <v>404</v>
      </c>
      <c r="E11" s="34">
        <f>IF(LEN(VLOOKUP(H3,'SDIT IR Malili '!$A$11:$AW$49,26,FALSE))=0,"0",VLOOKUP(H3,'SDIT IR Malili '!$A$11:$AW$49,26,FALSE))</f>
        <v>175000</v>
      </c>
    </row>
    <row r="12" spans="1:8" ht="15.75" customHeight="1">
      <c r="A12" s="274" t="str">
        <f>'SDIT IR Malili '!B4</f>
        <v>SDIT INSAN RABBANI</v>
      </c>
      <c r="B12" s="275"/>
      <c r="C12" s="276"/>
      <c r="D12" s="26" t="s">
        <v>52</v>
      </c>
      <c r="E12" s="39">
        <f>IF(LEN(VLOOKUP(H3,'SDIT IR Malili '!$A$11:$AW$49,31,FALSE))=0,"0",VLOOKUP(H3,'SDIT IR Malili '!$A$11:$AW$49,31,FALSE))</f>
        <v>100000</v>
      </c>
    </row>
    <row r="13" spans="1:8">
      <c r="A13" s="28" t="s">
        <v>41</v>
      </c>
      <c r="C13" s="38">
        <f>IF(LEN(VLOOKUP(H3,'SDIT IR Malili '!$A$11:$AW$49,5,FALSE))=0," ",VLOOKUP(H3,'SDIT IR Malili '!$A$11:$AW$49,5,FALSE))</f>
        <v>24</v>
      </c>
      <c r="D13" s="26" t="s">
        <v>53</v>
      </c>
      <c r="E13" s="34"/>
    </row>
    <row r="14" spans="1:8">
      <c r="A14" s="25" t="s">
        <v>42</v>
      </c>
      <c r="C14" s="38">
        <f>IF(LEN(VLOOKUP(H3,'SDIT IR Malili '!$A$11:$AW$49,6,FALSE))=0," ",VLOOKUP(H3,'SDIT IR Malili '!$A$11:$AW$49,6,FALSE))</f>
        <v>24</v>
      </c>
      <c r="D14" s="26" t="s">
        <v>54</v>
      </c>
      <c r="E14" s="34">
        <f>IF(LEN(VLOOKUP(H3,'SDIT IR Malili '!$A$11:$AW$49,33,FALSE))=0,"0",VLOOKUP(H3,'SDIT IR Malili '!$A$11:$AW$49,33,FALSE))</f>
        <v>120000</v>
      </c>
    </row>
    <row r="15" spans="1:8">
      <c r="A15" s="25" t="s">
        <v>43</v>
      </c>
      <c r="C15" s="38">
        <f>IF(LEN(VLOOKUP(H3,'SDIT IR Malili '!$A$11:$AW$49,7,FALSE))=0," ",VLOOKUP(H3,'SDIT IR Malili '!$A$11:$AW$49,7,FALSE))</f>
        <v>0</v>
      </c>
      <c r="D15" s="26" t="s">
        <v>55</v>
      </c>
      <c r="E15" s="34">
        <f>IF(LEN(VLOOKUP(H3,'SDIT IR Malili '!$A$11:$AW$49,34,FALSE))=0,"0",VLOOKUP(H3,'SDIT IR Malili '!$A$11:$AW$49,34,FALSE))</f>
        <v>120000</v>
      </c>
    </row>
    <row r="16" spans="1:8">
      <c r="A16" s="25" t="s">
        <v>44</v>
      </c>
      <c r="C16" s="38">
        <f>IF(LEN(VLOOKUP(H3,'SDIT IR Malili '!$A$11:$AW$49,9,FALSE))=0," ",VLOOKUP(H3,'SDIT IR Malili '!$A$11:$AW$49,9,FALSE))</f>
        <v>0</v>
      </c>
      <c r="D16" s="26" t="s">
        <v>56</v>
      </c>
      <c r="E16" s="34">
        <f>IF(LEN(VLOOKUP(H3,'SDIT IR Malili '!$A$11:$AW$49,32,FALSE))=0,"0",VLOOKUP(H3,'SDIT IR Malili '!$A$11:$AW$49,32,FALSE))</f>
        <v>240000</v>
      </c>
    </row>
    <row r="17" spans="1:5">
      <c r="A17" s="25" t="s">
        <v>403</v>
      </c>
      <c r="C17" s="38">
        <f>IF(LEN(VLOOKUP(H3,'SDIT IR Malili '!$A$11:$AW$49,13,FALSE))=0," ",VLOOKUP(H3,'SDIT IR Malili '!$A$11:$AW$49,13,FALSE))</f>
        <v>0</v>
      </c>
      <c r="D17" s="26" t="s">
        <v>405</v>
      </c>
      <c r="E17" s="34">
        <f>IF(LEN(VLOOKUP(H3,'SDIT IR Malili '!$A$11:$AW$49,35,FALSE))=0,"0",VLOOKUP(H3,'SDIT IR Malili '!$A$11:$AW$49,35,FALSE))</f>
        <v>240000</v>
      </c>
    </row>
    <row r="18" spans="1:5">
      <c r="A18" s="25" t="s">
        <v>73</v>
      </c>
      <c r="C18" s="50">
        <f>IF(LEN(VLOOKUP(H3,'SDIT IR Malili '!$A$11:$AW$49,10,FALSE))=0," ",VLOOKUP(H3,'SDIT IR Malili '!$A$11:$AW$49,10,FALSE))</f>
        <v>0</v>
      </c>
      <c r="D18" s="26" t="s">
        <v>59</v>
      </c>
      <c r="E18" s="34">
        <f>IF(LEN(VLOOKUP(H3,'SDIT IR Malili '!$A$11:$AW$49,36,FALSE))=0,"0",VLOOKUP(H3,'SDIT IR Malili '!$A$11:$AW$49,36,FALSE))</f>
        <v>150000</v>
      </c>
    </row>
    <row r="19" spans="1:5">
      <c r="A19" s="25" t="s">
        <v>74</v>
      </c>
      <c r="C19" s="50">
        <f>IF(LEN(VLOOKUP(H3,'SDIT IR Malili '!$A$11:$AW$49,12,FALSE))=0," ",VLOOKUP(H3,'SDIT IR Malili '!$A$11:$AW$49,12,FALSE))</f>
        <v>0</v>
      </c>
      <c r="D19" s="26" t="s">
        <v>406</v>
      </c>
      <c r="E19" s="34">
        <f>IF(LEN(VLOOKUP(H3,'SDIT IR Malili '!$A$11:$AW$49,37,FALSE))=0,"0",VLOOKUP(H3,'SDIT IR Malili '!$A$11:$AW$49,37,FALSE))</f>
        <v>0</v>
      </c>
    </row>
    <row r="20" spans="1:5">
      <c r="A20" s="25" t="s">
        <v>81</v>
      </c>
      <c r="C20" s="52">
        <f>IF(LEN(VLOOKUP(H3,'SDIT IR Malili '!$A$11:$AW$49,47,FALSE))=0,"0",VLOOKUP(H3,'SDIT IR Malili '!$A$11:$AW$49,47,FALSE))</f>
        <v>0</v>
      </c>
      <c r="D20" s="26"/>
      <c r="E20" s="34"/>
    </row>
    <row r="21" spans="1:5" ht="13.5" customHeight="1">
      <c r="A21" s="277" t="s">
        <v>57</v>
      </c>
      <c r="B21" s="278"/>
      <c r="C21" s="279"/>
      <c r="D21" s="26"/>
      <c r="E21" s="34"/>
    </row>
    <row r="22" spans="1:5">
      <c r="A22" s="277"/>
      <c r="B22" s="278"/>
      <c r="C22" s="279"/>
      <c r="D22" s="26"/>
      <c r="E22" s="34"/>
    </row>
    <row r="23" spans="1:5">
      <c r="A23" s="277"/>
      <c r="B23" s="278"/>
      <c r="C23" s="279"/>
      <c r="D23" s="26"/>
      <c r="E23" s="34"/>
    </row>
    <row r="24" spans="1:5">
      <c r="A24" s="277"/>
      <c r="B24" s="278"/>
      <c r="C24" s="279"/>
      <c r="D24" s="27" t="s">
        <v>60</v>
      </c>
      <c r="E24" s="35">
        <f>SUM(E10:E23)</f>
        <v>1545000</v>
      </c>
    </row>
    <row r="25" spans="1:5" ht="18.75" customHeight="1">
      <c r="A25" s="44" t="s">
        <v>68</v>
      </c>
      <c r="B25" s="280">
        <f ca="1">'SDIT IR Malili '!B5</f>
        <v>46244</v>
      </c>
      <c r="C25" s="281"/>
      <c r="D25" s="33" t="s">
        <v>61</v>
      </c>
      <c r="E25" s="37"/>
    </row>
    <row r="26" spans="1:5">
      <c r="A26" s="29"/>
      <c r="B26" s="30"/>
      <c r="C26" s="30"/>
      <c r="D26" s="26" t="s">
        <v>62</v>
      </c>
      <c r="E26" s="34">
        <f>IF(LEN(VLOOKUP(H3,'SDIT IR Malili '!$A$11:$AW$49,44,FALSE))=0,"0",VLOOKUP(H3,'SDIT IR Malili '!$A$11:$AW$49,44,FALSE))</f>
        <v>0</v>
      </c>
    </row>
    <row r="27" spans="1:5">
      <c r="A27" s="25"/>
      <c r="D27" s="26" t="s">
        <v>72</v>
      </c>
      <c r="E27" s="34">
        <f>IF(LEN(VLOOKUP(H3,'SDIT IR Malili '!$A$11:$AW$49,43,FALSE))=0,"0",VLOOKUP(H3,'SDIT IR Malili '!$A$11:$AW$49,43,FALSE))</f>
        <v>0</v>
      </c>
    </row>
    <row r="28" spans="1:5">
      <c r="A28" s="25"/>
      <c r="D28" s="26" t="s">
        <v>63</v>
      </c>
      <c r="E28" s="34">
        <f>IF(LEN(VLOOKUP(H3,'SDIT IR Malili '!$A$11:$AW$49,45,FALSE))=0,"0",VLOOKUP(H3,'SDIT IR Malili '!$A$11:$AW$49,45,FALSE))</f>
        <v>0</v>
      </c>
    </row>
    <row r="29" spans="1:5">
      <c r="A29" s="25"/>
      <c r="D29" s="26" t="s">
        <v>415</v>
      </c>
      <c r="E29" s="34">
        <f>IF(LEN(VLOOKUP(H3,'SDIT IR Malili '!$A$11:$AW$49,40,FALSE))=0,"0",VLOOKUP(H3,'SDIT IR Malili '!$A$11:$AW$49,40,FALSE))</f>
        <v>0</v>
      </c>
    </row>
    <row r="30" spans="1:5">
      <c r="A30" s="25"/>
      <c r="D30" s="27" t="s">
        <v>64</v>
      </c>
      <c r="E30" s="35">
        <f>SUM(E26:E29)</f>
        <v>0</v>
      </c>
    </row>
    <row r="31" spans="1:5">
      <c r="A31" s="25"/>
      <c r="B31" s="22" t="s">
        <v>402</v>
      </c>
      <c r="D31" s="33" t="s">
        <v>65</v>
      </c>
      <c r="E31" s="37"/>
    </row>
    <row r="32" spans="1:5">
      <c r="A32" s="25"/>
      <c r="D32" s="27" t="s">
        <v>66</v>
      </c>
      <c r="E32" s="35">
        <f>SUM(E8,E24)</f>
        <v>3785000</v>
      </c>
    </row>
    <row r="33" spans="1:5">
      <c r="A33" s="25"/>
      <c r="D33" s="27" t="s">
        <v>64</v>
      </c>
      <c r="E33" s="35">
        <f>E30</f>
        <v>0</v>
      </c>
    </row>
    <row r="34" spans="1:5">
      <c r="A34" s="25"/>
      <c r="D34" s="282" t="s">
        <v>67</v>
      </c>
      <c r="E34" s="262">
        <f>E32-E33</f>
        <v>3785000</v>
      </c>
    </row>
    <row r="35" spans="1:5" ht="15" thickBot="1">
      <c r="A35" s="31"/>
      <c r="B35" s="32"/>
      <c r="C35" s="32"/>
      <c r="D35" s="283"/>
      <c r="E35" s="263"/>
    </row>
  </sheetData>
  <mergeCells count="12">
    <mergeCell ref="D34:D35"/>
    <mergeCell ref="E34:E35"/>
    <mergeCell ref="A11:C11"/>
    <mergeCell ref="A12:C12"/>
    <mergeCell ref="H3:H4"/>
    <mergeCell ref="B25:C25"/>
    <mergeCell ref="D3:E3"/>
    <mergeCell ref="A7:C7"/>
    <mergeCell ref="B8:C8"/>
    <mergeCell ref="B9:C9"/>
    <mergeCell ref="D4:E4"/>
    <mergeCell ref="A21:C24"/>
  </mergeCells>
  <pageMargins left="0.7" right="0.7" top="0.75" bottom="0.75" header="0.3" footer="0.3"/>
  <pageSetup scale="99" orientation="portrait" r:id="rId1"/>
  <colBreaks count="1" manualBreakCount="1">
    <brk id="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995C-7DA6-4BD5-990A-5924510BB89A}">
  <dimension ref="A1:F42"/>
  <sheetViews>
    <sheetView topLeftCell="A26" zoomScaleNormal="100" workbookViewId="0">
      <selection activeCell="A3" sqref="A3:F3"/>
    </sheetView>
  </sheetViews>
  <sheetFormatPr defaultColWidth="9.1796875" defaultRowHeight="14"/>
  <cols>
    <col min="1" max="1" width="9.1796875" style="11"/>
    <col min="2" max="2" width="30.26953125" style="11" customWidth="1"/>
    <col min="3" max="3" width="22.1796875" style="11" customWidth="1"/>
    <col min="4" max="5" width="26.7265625" style="11" customWidth="1"/>
    <col min="6" max="6" width="24.26953125" style="11" customWidth="1"/>
    <col min="7" max="16384" width="9.1796875" style="11"/>
  </cols>
  <sheetData>
    <row r="1" spans="1:6" ht="22.5" customHeight="1">
      <c r="A1" s="284" t="s">
        <v>80</v>
      </c>
      <c r="B1" s="284"/>
      <c r="C1" s="284"/>
      <c r="D1" s="284"/>
      <c r="E1" s="284"/>
      <c r="F1" s="284"/>
    </row>
    <row r="2" spans="1:6" ht="22.5" customHeight="1">
      <c r="A2" s="284" t="str">
        <f>'SDIT IR Malili '!B3</f>
        <v>Periode 26 Juni 2026 s/d 25 Juli 2026</v>
      </c>
      <c r="B2" s="284"/>
      <c r="C2" s="284"/>
      <c r="D2" s="284"/>
      <c r="E2" s="284"/>
      <c r="F2" s="284"/>
    </row>
    <row r="3" spans="1:6" ht="22.5" customHeight="1">
      <c r="A3" s="285" t="str">
        <f>'SDIT IR Malili '!B4</f>
        <v>SDIT INSAN RABBANI</v>
      </c>
      <c r="B3" s="285"/>
      <c r="C3" s="285"/>
      <c r="D3" s="285"/>
      <c r="E3" s="285"/>
      <c r="F3" s="285"/>
    </row>
    <row r="4" spans="1:6" ht="31">
      <c r="A4" s="14" t="s">
        <v>1</v>
      </c>
      <c r="B4" s="16" t="s">
        <v>2</v>
      </c>
      <c r="C4" s="16" t="s">
        <v>35</v>
      </c>
      <c r="D4" s="16" t="s">
        <v>36</v>
      </c>
      <c r="E4" s="16" t="s">
        <v>37</v>
      </c>
      <c r="F4" s="15" t="s">
        <v>29</v>
      </c>
    </row>
    <row r="5" spans="1:6" ht="18.75" customHeight="1">
      <c r="A5" s="12">
        <v>1</v>
      </c>
      <c r="B5" s="13" t="str">
        <f>'SDIT IR Malili '!B11</f>
        <v>Hasmiati, S.Pd</v>
      </c>
      <c r="C5" s="17">
        <f>'SDIT IR Malili '!X11</f>
        <v>2240000</v>
      </c>
      <c r="D5" s="17">
        <f>'SDIT IR Malili '!AL11</f>
        <v>1545000</v>
      </c>
      <c r="E5" s="17">
        <f>'SDIT IR Malili '!AU11</f>
        <v>0</v>
      </c>
      <c r="F5" s="19">
        <f>'SDIT IR Malili '!AW11</f>
        <v>3785000</v>
      </c>
    </row>
    <row r="6" spans="1:6" ht="18.75" customHeight="1">
      <c r="A6" s="12">
        <v>2</v>
      </c>
      <c r="B6" s="13" t="str">
        <f>'SDIT IR Malili '!B12</f>
        <v>Nur Fajriani Usman, S.S</v>
      </c>
      <c r="C6" s="17">
        <f>'SDIT IR Malili '!X12</f>
        <v>2040000</v>
      </c>
      <c r="D6" s="17">
        <f>'SDIT IR Malili '!AL12</f>
        <v>1120000</v>
      </c>
      <c r="E6" s="17">
        <f>'SDIT IR Malili '!AU12</f>
        <v>0</v>
      </c>
      <c r="F6" s="19">
        <f>'SDIT IR Malili '!AW12</f>
        <v>3160000</v>
      </c>
    </row>
    <row r="7" spans="1:6" ht="18.75" customHeight="1">
      <c r="A7" s="12">
        <v>3</v>
      </c>
      <c r="B7" s="13" t="str">
        <f>'SDIT IR Malili '!B13</f>
        <v>Ade Asmi Pratiwi, SE</v>
      </c>
      <c r="C7" s="17">
        <f>'SDIT IR Malili '!X13</f>
        <v>2000000</v>
      </c>
      <c r="D7" s="17">
        <f>'SDIT IR Malili '!AL13</f>
        <v>1120000</v>
      </c>
      <c r="E7" s="17">
        <f>'SDIT IR Malili '!AU13</f>
        <v>0</v>
      </c>
      <c r="F7" s="19">
        <f>'SDIT IR Malili '!AW13</f>
        <v>3120000</v>
      </c>
    </row>
    <row r="8" spans="1:6" ht="18.75" customHeight="1">
      <c r="A8" s="12">
        <v>4</v>
      </c>
      <c r="B8" s="13" t="str">
        <f>'SDIT IR Malili '!B14</f>
        <v>Asrina, S.Pd</v>
      </c>
      <c r="C8" s="17">
        <f>'SDIT IR Malili '!X14</f>
        <v>2040000</v>
      </c>
      <c r="D8" s="17">
        <f>'SDIT IR Malili '!AL14</f>
        <v>1120000</v>
      </c>
      <c r="E8" s="17">
        <f>'SDIT IR Malili '!AU14</f>
        <v>0</v>
      </c>
      <c r="F8" s="19">
        <f>'SDIT IR Malili '!AW14</f>
        <v>3160000</v>
      </c>
    </row>
    <row r="9" spans="1:6" ht="18.75" customHeight="1">
      <c r="A9" s="12">
        <v>5</v>
      </c>
      <c r="B9" s="13" t="str">
        <f>'SDIT IR Malili '!B15</f>
        <v>Andi Kastiar Latif, S.Pd</v>
      </c>
      <c r="C9" s="17">
        <f>'SDIT IR Malili '!X15</f>
        <v>2040000</v>
      </c>
      <c r="D9" s="17">
        <f>'SDIT IR Malili '!AL15</f>
        <v>1580000</v>
      </c>
      <c r="E9" s="17">
        <f>'SDIT IR Malili '!AU15</f>
        <v>0</v>
      </c>
      <c r="F9" s="19">
        <f>'SDIT IR Malili '!AW15</f>
        <v>3620000</v>
      </c>
    </row>
    <row r="10" spans="1:6" ht="18.75" customHeight="1">
      <c r="A10" s="12">
        <v>6</v>
      </c>
      <c r="B10" s="13" t="str">
        <f>'SDIT IR Malili '!B16</f>
        <v>Harmawati. B, S.Pd</v>
      </c>
      <c r="C10" s="17">
        <f>'SDIT IR Malili '!X16</f>
        <v>1060000</v>
      </c>
      <c r="D10" s="17">
        <f>'SDIT IR Malili '!AL16</f>
        <v>1120000</v>
      </c>
      <c r="E10" s="17">
        <f>'SDIT IR Malili '!AU16</f>
        <v>0</v>
      </c>
      <c r="F10" s="19">
        <f>'SDIT IR Malili '!AW16</f>
        <v>2180000</v>
      </c>
    </row>
    <row r="11" spans="1:6" ht="18.75" customHeight="1">
      <c r="A11" s="12">
        <v>7</v>
      </c>
      <c r="B11" s="13" t="str">
        <f>'SDIT IR Malili '!B17</f>
        <v>Nurazizah,S.Pd</v>
      </c>
      <c r="C11" s="17">
        <f>'SDIT IR Malili '!X17</f>
        <v>2000000</v>
      </c>
      <c r="D11" s="17">
        <f>'SDIT IR Malili '!AL17</f>
        <v>980000</v>
      </c>
      <c r="E11" s="17">
        <f>'SDIT IR Malili '!AU17</f>
        <v>0</v>
      </c>
      <c r="F11" s="19">
        <f>'SDIT IR Malili '!AW17</f>
        <v>2980000</v>
      </c>
    </row>
    <row r="12" spans="1:6" ht="18.75" customHeight="1">
      <c r="A12" s="12">
        <v>8</v>
      </c>
      <c r="B12" s="13" t="str">
        <f>'SDIT IR Malili '!B18</f>
        <v>Sri Rahayu, S.Pd</v>
      </c>
      <c r="C12" s="17">
        <f>'SDIT IR Malili '!X18</f>
        <v>1950000</v>
      </c>
      <c r="D12" s="17">
        <f>'SDIT IR Malili '!AL18</f>
        <v>1060000</v>
      </c>
      <c r="E12" s="17">
        <f>'SDIT IR Malili '!AU18</f>
        <v>0</v>
      </c>
      <c r="F12" s="19">
        <f>'SDIT IR Malili '!AW18</f>
        <v>3010000</v>
      </c>
    </row>
    <row r="13" spans="1:6" ht="18.75" customHeight="1">
      <c r="A13" s="12">
        <v>9</v>
      </c>
      <c r="B13" s="13" t="str">
        <f>'SDIT IR Malili '!B19</f>
        <v>Susilawati, S.Pd</v>
      </c>
      <c r="C13" s="17">
        <f>'SDIT IR Malili '!X19</f>
        <v>2010000</v>
      </c>
      <c r="D13" s="17">
        <f>'SDIT IR Malili '!AL19</f>
        <v>980000</v>
      </c>
      <c r="E13" s="17">
        <f>'SDIT IR Malili '!AU19</f>
        <v>0</v>
      </c>
      <c r="F13" s="19">
        <f>'SDIT IR Malili '!AW19</f>
        <v>2990000</v>
      </c>
    </row>
    <row r="14" spans="1:6" ht="18.75" customHeight="1">
      <c r="A14" s="12">
        <v>10</v>
      </c>
      <c r="B14" s="13" t="str">
        <f>'SDIT IR Malili '!B20</f>
        <v>Rismawati, S.Pd</v>
      </c>
      <c r="C14" s="17">
        <f>'SDIT IR Malili '!X20</f>
        <v>1950000</v>
      </c>
      <c r="D14" s="17">
        <f>'SDIT IR Malili '!AL20</f>
        <v>1120000</v>
      </c>
      <c r="E14" s="17">
        <f>'SDIT IR Malili '!AU20</f>
        <v>0</v>
      </c>
      <c r="F14" s="19">
        <f>'SDIT IR Malili '!AW20</f>
        <v>3070000</v>
      </c>
    </row>
    <row r="15" spans="1:6" ht="18.75" customHeight="1">
      <c r="A15" s="12">
        <v>11</v>
      </c>
      <c r="B15" s="13" t="str">
        <f>'SDIT IR Malili '!B21</f>
        <v>Ertika, S.Pd</v>
      </c>
      <c r="C15" s="17">
        <f>'SDIT IR Malili '!X21</f>
        <v>1990000</v>
      </c>
      <c r="D15" s="17">
        <f>'SDIT IR Malili '!AL21</f>
        <v>970000</v>
      </c>
      <c r="E15" s="17">
        <f>'SDIT IR Malili '!AU21</f>
        <v>0</v>
      </c>
      <c r="F15" s="19">
        <f>'SDIT IR Malili '!AW21</f>
        <v>2960000</v>
      </c>
    </row>
    <row r="16" spans="1:6" ht="18.75" customHeight="1">
      <c r="A16" s="12">
        <v>12</v>
      </c>
      <c r="B16" s="13" t="str">
        <f>'SDIT IR Malili '!B22</f>
        <v>Kurniati, A.MA, Pd. OR</v>
      </c>
      <c r="C16" s="17">
        <f>'SDIT IR Malili '!X22</f>
        <v>1950000</v>
      </c>
      <c r="D16" s="17">
        <f>'SDIT IR Malili '!AL22</f>
        <v>1060000</v>
      </c>
      <c r="E16" s="17">
        <f>'SDIT IR Malili '!AU22</f>
        <v>0</v>
      </c>
      <c r="F16" s="19">
        <f>'SDIT IR Malili '!AW22</f>
        <v>3010000</v>
      </c>
    </row>
    <row r="17" spans="1:6" ht="18.75" customHeight="1">
      <c r="A17" s="12">
        <v>13</v>
      </c>
      <c r="B17" s="13" t="str">
        <f>'SDIT IR Malili '!B23</f>
        <v>Uppi Erniati H, S.Pd</v>
      </c>
      <c r="C17" s="17">
        <f>'SDIT IR Malili '!X23</f>
        <v>2010000</v>
      </c>
      <c r="D17" s="17">
        <f>'SDIT IR Malili '!AL23</f>
        <v>880000</v>
      </c>
      <c r="E17" s="17">
        <f>'SDIT IR Malili '!AU23</f>
        <v>0</v>
      </c>
      <c r="F17" s="19">
        <f>'SDIT IR Malili '!AW23</f>
        <v>2890000</v>
      </c>
    </row>
    <row r="18" spans="1:6" ht="18.75" customHeight="1">
      <c r="A18" s="12">
        <v>14</v>
      </c>
      <c r="B18" s="13" t="str">
        <f>'SDIT IR Malili '!B24</f>
        <v>Dian Ekaviyanti Rusydi,SP</v>
      </c>
      <c r="C18" s="17">
        <f>'SDIT IR Malili '!X24</f>
        <v>2030000</v>
      </c>
      <c r="D18" s="17">
        <f>'SDIT IR Malili '!AL24</f>
        <v>1520000</v>
      </c>
      <c r="E18" s="17">
        <f>'SDIT IR Malili '!AU24</f>
        <v>0</v>
      </c>
      <c r="F18" s="19">
        <f>'SDIT IR Malili '!AW24</f>
        <v>3550000</v>
      </c>
    </row>
    <row r="19" spans="1:6" ht="18.75" customHeight="1">
      <c r="A19" s="12">
        <v>15</v>
      </c>
      <c r="B19" s="13" t="str">
        <f>'SDIT IR Malili '!B25</f>
        <v>Hasriani, S.Pd</v>
      </c>
      <c r="C19" s="17">
        <f>'SDIT IR Malili '!X25</f>
        <v>1950000</v>
      </c>
      <c r="D19" s="17">
        <f>'SDIT IR Malili '!AL25</f>
        <v>1120000</v>
      </c>
      <c r="E19" s="17">
        <f>'SDIT IR Malili '!AU25</f>
        <v>0</v>
      </c>
      <c r="F19" s="19">
        <f>'SDIT IR Malili '!AW25</f>
        <v>3070000</v>
      </c>
    </row>
    <row r="20" spans="1:6" ht="18.75" customHeight="1">
      <c r="A20" s="12">
        <v>16</v>
      </c>
      <c r="B20" s="13" t="str">
        <f>'SDIT IR Malili '!B26</f>
        <v>Hildawati Dulla, S.Pd</v>
      </c>
      <c r="C20" s="17">
        <f>'SDIT IR Malili '!X26</f>
        <v>1950000</v>
      </c>
      <c r="D20" s="17">
        <f>'SDIT IR Malili '!AL26</f>
        <v>1120000</v>
      </c>
      <c r="E20" s="17">
        <f>'SDIT IR Malili '!AU26</f>
        <v>0</v>
      </c>
      <c r="F20" s="19">
        <f>'SDIT IR Malili '!AW26</f>
        <v>3070000</v>
      </c>
    </row>
    <row r="21" spans="1:6" ht="18.75" customHeight="1">
      <c r="A21" s="12">
        <v>17</v>
      </c>
      <c r="B21" s="13" t="str">
        <f>'SDIT IR Malili '!B27</f>
        <v>Iin, S.Pd</v>
      </c>
      <c r="C21" s="17">
        <f>'SDIT IR Malili '!X27</f>
        <v>1990000</v>
      </c>
      <c r="D21" s="17">
        <f>'SDIT IR Malili '!AL27</f>
        <v>920000</v>
      </c>
      <c r="E21" s="17">
        <f>'SDIT IR Malili '!AU27</f>
        <v>0</v>
      </c>
      <c r="F21" s="19">
        <f>'SDIT IR Malili '!AW27</f>
        <v>2910000</v>
      </c>
    </row>
    <row r="22" spans="1:6" ht="18.75" customHeight="1">
      <c r="A22" s="12">
        <v>18</v>
      </c>
      <c r="B22" s="13" t="str">
        <f>'SDIT IR Malili '!B28</f>
        <v>Gisjawinta Ardo Maretza N</v>
      </c>
      <c r="C22" s="17">
        <f>'SDIT IR Malili '!X28</f>
        <v>900000</v>
      </c>
      <c r="D22" s="17">
        <f>'SDIT IR Malili '!AL28</f>
        <v>1120000</v>
      </c>
      <c r="E22" s="17">
        <f>'SDIT IR Malili '!AU28</f>
        <v>0</v>
      </c>
      <c r="F22" s="19">
        <f>'SDIT IR Malili '!AW28</f>
        <v>2020000</v>
      </c>
    </row>
    <row r="23" spans="1:6" ht="18.75" customHeight="1">
      <c r="A23" s="12">
        <v>19</v>
      </c>
      <c r="B23" s="13" t="str">
        <f>'SDIT IR Malili '!B29</f>
        <v xml:space="preserve">Ita Nurhasanah S.Pd </v>
      </c>
      <c r="C23" s="17">
        <f>'SDIT IR Malili '!X29</f>
        <v>1900000</v>
      </c>
      <c r="D23" s="17">
        <f>'SDIT IR Malili '!AL29</f>
        <v>980000</v>
      </c>
      <c r="E23" s="17">
        <f>'SDIT IR Malili '!AU29</f>
        <v>0</v>
      </c>
      <c r="F23" s="19">
        <f>'SDIT IR Malili '!AW29</f>
        <v>2880000</v>
      </c>
    </row>
    <row r="24" spans="1:6" ht="18.75" customHeight="1">
      <c r="A24" s="12">
        <v>20</v>
      </c>
      <c r="B24" s="13" t="str">
        <f>'SDIT IR Malili '!B30</f>
        <v>Nurhaeni, S.Pd., M.Pd</v>
      </c>
      <c r="C24" s="17">
        <f>'SDIT IR Malili '!X30</f>
        <v>550000</v>
      </c>
      <c r="D24" s="17">
        <f>'SDIT IR Malili '!AL30</f>
        <v>970000</v>
      </c>
      <c r="E24" s="17">
        <f>'SDIT IR Malili '!AU30</f>
        <v>0</v>
      </c>
      <c r="F24" s="19">
        <f>'SDIT IR Malili '!AW30</f>
        <v>1520000</v>
      </c>
    </row>
    <row r="25" spans="1:6" ht="18.75" customHeight="1">
      <c r="A25" s="12">
        <v>21</v>
      </c>
      <c r="B25" s="13" t="str">
        <f>'SDIT IR Malili '!B31</f>
        <v xml:space="preserve">Hidayatun Nisa S.Pd </v>
      </c>
      <c r="C25" s="17">
        <f>'SDIT IR Malili '!X31</f>
        <v>1850000</v>
      </c>
      <c r="D25" s="17">
        <f>'SDIT IR Malili '!AL31</f>
        <v>870000</v>
      </c>
      <c r="E25" s="17">
        <f>'SDIT IR Malili '!AU31</f>
        <v>0</v>
      </c>
      <c r="F25" s="19">
        <f>'SDIT IR Malili '!AW31</f>
        <v>2720000</v>
      </c>
    </row>
    <row r="26" spans="1:6" ht="18.75" customHeight="1">
      <c r="A26" s="12">
        <v>22</v>
      </c>
      <c r="B26" s="13" t="str">
        <f>'SDIT IR Malili '!B32</f>
        <v>Hizratul Laily S.H</v>
      </c>
      <c r="C26" s="17">
        <f>'SDIT IR Malili '!X32</f>
        <v>1900000</v>
      </c>
      <c r="D26" s="17">
        <f>'SDIT IR Malili '!AL32</f>
        <v>980000</v>
      </c>
      <c r="E26" s="17">
        <f>'SDIT IR Malili '!AU32</f>
        <v>0</v>
      </c>
      <c r="F26" s="19">
        <f>'SDIT IR Malili '!AW32</f>
        <v>2880000</v>
      </c>
    </row>
    <row r="27" spans="1:6" ht="18.75" customHeight="1">
      <c r="A27" s="12">
        <v>23</v>
      </c>
      <c r="B27" s="13" t="str">
        <f>'SDIT IR Malili '!B33</f>
        <v xml:space="preserve">Dwi Oktaviana S.Pd </v>
      </c>
      <c r="C27" s="17">
        <f>'SDIT IR Malili '!X33</f>
        <v>1900000</v>
      </c>
      <c r="D27" s="17">
        <f>'SDIT IR Malili '!AL33</f>
        <v>1120000</v>
      </c>
      <c r="E27" s="17">
        <f>'SDIT IR Malili '!AU33</f>
        <v>0</v>
      </c>
      <c r="F27" s="19">
        <f>'SDIT IR Malili '!AW33</f>
        <v>3020000</v>
      </c>
    </row>
    <row r="28" spans="1:6" ht="18.75" customHeight="1">
      <c r="A28" s="12">
        <v>24</v>
      </c>
      <c r="B28" s="13" t="str">
        <f>'SDIT IR Malili '!B34</f>
        <v>Julianti S.Pd</v>
      </c>
      <c r="C28" s="17">
        <f>'SDIT IR Malili '!X34</f>
        <v>1850000</v>
      </c>
      <c r="D28" s="17">
        <f>'SDIT IR Malili '!AL34</f>
        <v>970000</v>
      </c>
      <c r="E28" s="17">
        <f>'SDIT IR Malili '!AU34</f>
        <v>0</v>
      </c>
      <c r="F28" s="19">
        <f>'SDIT IR Malili '!AW34</f>
        <v>2820000</v>
      </c>
    </row>
    <row r="29" spans="1:6" ht="18.75" customHeight="1">
      <c r="A29" s="12">
        <v>25</v>
      </c>
      <c r="B29" s="13" t="str">
        <f>'SDIT IR Malili '!B35</f>
        <v>Nadia Azzahrah</v>
      </c>
      <c r="C29" s="17">
        <f>'SDIT IR Malili '!X35</f>
        <v>350000</v>
      </c>
      <c r="D29" s="17">
        <f>'SDIT IR Malili '!AL35</f>
        <v>830000</v>
      </c>
      <c r="E29" s="17">
        <f>'SDIT IR Malili '!AU35</f>
        <v>0</v>
      </c>
      <c r="F29" s="19">
        <f>'SDIT IR Malili '!AW35</f>
        <v>1180000</v>
      </c>
    </row>
    <row r="30" spans="1:6" ht="18.75" customHeight="1">
      <c r="A30" s="12">
        <v>26</v>
      </c>
      <c r="B30" s="13" t="str">
        <f>'SDIT IR Malili '!B36</f>
        <v>Nur Halisah Aminun S.Pd</v>
      </c>
      <c r="C30" s="17">
        <f>'SDIT IR Malili '!X36</f>
        <v>1850000</v>
      </c>
      <c r="D30" s="17">
        <f>'SDIT IR Malili '!AL36</f>
        <v>970000</v>
      </c>
      <c r="E30" s="17">
        <f>'SDIT IR Malili '!AU36</f>
        <v>0</v>
      </c>
      <c r="F30" s="19">
        <f>'SDIT IR Malili '!AW36</f>
        <v>2820000</v>
      </c>
    </row>
    <row r="31" spans="1:6" ht="18.75" customHeight="1">
      <c r="A31" s="12">
        <v>27</v>
      </c>
      <c r="B31" s="13" t="str">
        <f>'SDIT IR Malili '!B37</f>
        <v>Sri Mulyani S.Pd</v>
      </c>
      <c r="C31" s="17">
        <f>'SDIT IR Malili '!X37</f>
        <v>1850000</v>
      </c>
      <c r="D31" s="17">
        <f>'SDIT IR Malili '!AL37</f>
        <v>970000</v>
      </c>
      <c r="E31" s="17">
        <f>'SDIT IR Malili '!AU37</f>
        <v>0</v>
      </c>
      <c r="F31" s="19">
        <f>'SDIT IR Malili '!AW37</f>
        <v>2820000</v>
      </c>
    </row>
    <row r="32" spans="1:6" ht="18.75" customHeight="1">
      <c r="A32" s="12">
        <v>28</v>
      </c>
      <c r="B32" s="13" t="str">
        <f>'SDIT IR Malili '!B38</f>
        <v xml:space="preserve">Saidatul Musayyadah S.Pd </v>
      </c>
      <c r="C32" s="17">
        <f>'SDIT IR Malili '!X38</f>
        <v>1850000</v>
      </c>
      <c r="D32" s="17">
        <f>'SDIT IR Malili '!AL38</f>
        <v>830000</v>
      </c>
      <c r="E32" s="17">
        <f>'SDIT IR Malili '!AU38</f>
        <v>0</v>
      </c>
      <c r="F32" s="19">
        <f>'SDIT IR Malili '!AW38</f>
        <v>2680000</v>
      </c>
    </row>
    <row r="33" spans="1:6" ht="18.75" customHeight="1">
      <c r="A33" s="12">
        <v>29</v>
      </c>
      <c r="B33" s="13" t="str">
        <f>'SDIT IR Malili '!B39</f>
        <v xml:space="preserve">Reski Elvira Sari S.Pd </v>
      </c>
      <c r="C33" s="17">
        <f>'SDIT IR Malili '!X39</f>
        <v>1850000</v>
      </c>
      <c r="D33" s="17">
        <f>'SDIT IR Malili '!AL39</f>
        <v>970000</v>
      </c>
      <c r="E33" s="17">
        <f>'SDIT IR Malili '!AU39</f>
        <v>0</v>
      </c>
      <c r="F33" s="19">
        <f>'SDIT IR Malili '!AW39</f>
        <v>2820000</v>
      </c>
    </row>
    <row r="34" spans="1:6" ht="18.75" customHeight="1">
      <c r="A34" s="12">
        <v>30</v>
      </c>
      <c r="B34" s="13" t="str">
        <f>'SDIT IR Malili '!B40</f>
        <v>Andini Putri Patrisia</v>
      </c>
      <c r="C34" s="17">
        <f>'SDIT IR Malili '!X40</f>
        <v>300000</v>
      </c>
      <c r="D34" s="17">
        <f>'SDIT IR Malili '!AL40</f>
        <v>730000</v>
      </c>
      <c r="E34" s="17">
        <f>'SDIT IR Malili '!AU40</f>
        <v>0</v>
      </c>
      <c r="F34" s="19">
        <f>'SDIT IR Malili '!AW40</f>
        <v>1030000</v>
      </c>
    </row>
    <row r="35" spans="1:6" ht="18.75" customHeight="1">
      <c r="A35" s="12">
        <v>31</v>
      </c>
      <c r="B35" s="13" t="str">
        <f>'SDIT IR Malili '!B41</f>
        <v>Maya Puspita Djasnah S.Pd</v>
      </c>
      <c r="C35" s="17">
        <f>'SDIT IR Malili '!X41</f>
        <v>1890000</v>
      </c>
      <c r="D35" s="17">
        <f>'SDIT IR Malili '!AL41</f>
        <v>970000</v>
      </c>
      <c r="E35" s="17">
        <f>'SDIT IR Malili '!AU41</f>
        <v>0</v>
      </c>
      <c r="F35" s="19">
        <f>'SDIT IR Malili '!AW41</f>
        <v>2860000</v>
      </c>
    </row>
    <row r="36" spans="1:6" ht="18.75" customHeight="1">
      <c r="A36" s="12">
        <v>32</v>
      </c>
      <c r="B36" s="13" t="str">
        <f>'SDIT IR Malili '!B42</f>
        <v>Elvira Fitriana S.Pd</v>
      </c>
      <c r="C36" s="17">
        <f>'SDIT IR Malili '!X42</f>
        <v>590000</v>
      </c>
      <c r="D36" s="17">
        <f>'SDIT IR Malili '!AL42</f>
        <v>970000</v>
      </c>
      <c r="E36" s="17">
        <f>'SDIT IR Malili '!AU42</f>
        <v>0</v>
      </c>
      <c r="F36" s="19">
        <f>'SDIT IR Malili '!AW42</f>
        <v>1560000</v>
      </c>
    </row>
    <row r="37" spans="1:6" ht="18.75" customHeight="1">
      <c r="A37" s="12">
        <v>33</v>
      </c>
      <c r="B37" s="13" t="str">
        <f>'SDIT IR Malili '!B43</f>
        <v>Maya Prasetya S.E</v>
      </c>
      <c r="C37" s="17">
        <f>'SDIT IR Malili '!X43</f>
        <v>590000</v>
      </c>
      <c r="D37" s="17">
        <f>'SDIT IR Malili '!AL43</f>
        <v>730000</v>
      </c>
      <c r="E37" s="17">
        <f>'SDIT IR Malili '!AU43</f>
        <v>0</v>
      </c>
      <c r="F37" s="19">
        <f>'SDIT IR Malili '!AW43</f>
        <v>1320000</v>
      </c>
    </row>
    <row r="38" spans="1:6" ht="18.75" customHeight="1">
      <c r="A38" s="12">
        <v>34</v>
      </c>
      <c r="B38" s="13" t="str">
        <f>'SDIT IR Malili '!B44</f>
        <v>Muthia</v>
      </c>
      <c r="C38" s="17">
        <f>'SDIT IR Malili '!X44</f>
        <v>550000</v>
      </c>
      <c r="D38" s="17">
        <f>'SDIT IR Malili '!AL44</f>
        <v>830000</v>
      </c>
      <c r="E38" s="17">
        <f>'SDIT IR Malili '!AU44</f>
        <v>0</v>
      </c>
      <c r="F38" s="19">
        <f>'SDIT IR Malili '!AW44</f>
        <v>1380000</v>
      </c>
    </row>
    <row r="39" spans="1:6" ht="18.75" customHeight="1">
      <c r="A39" s="12">
        <v>35</v>
      </c>
      <c r="B39" s="13" t="str">
        <f>'SDIT IR Malili '!B45</f>
        <v xml:space="preserve">Sabaria S.Pd </v>
      </c>
      <c r="C39" s="17">
        <f>'SDIT IR Malili '!X45</f>
        <v>570000</v>
      </c>
      <c r="D39" s="17">
        <f>'SDIT IR Malili '!AL45</f>
        <v>970000</v>
      </c>
      <c r="E39" s="17">
        <f>'SDIT IR Malili '!AU45</f>
        <v>0</v>
      </c>
      <c r="F39" s="19">
        <f>'SDIT IR Malili '!AW45</f>
        <v>1540000</v>
      </c>
    </row>
    <row r="40" spans="1:6" ht="18.75" customHeight="1">
      <c r="A40" s="12">
        <v>36</v>
      </c>
      <c r="B40" s="13" t="str">
        <f>'SDIT IR Malili '!B46</f>
        <v>Hera Nasruddin, S.Pd</v>
      </c>
      <c r="C40" s="17">
        <f>'SDIT IR Malili '!X46</f>
        <v>550000</v>
      </c>
      <c r="D40" s="17">
        <f>'SDIT IR Malili '!AL46</f>
        <v>830000</v>
      </c>
      <c r="E40" s="17">
        <f>'SDIT IR Malili '!AU46</f>
        <v>0</v>
      </c>
      <c r="F40" s="19">
        <f>'SDIT IR Malili '!AW46</f>
        <v>1380000</v>
      </c>
    </row>
    <row r="41" spans="1:6" ht="18.75" customHeight="1">
      <c r="A41" s="12">
        <v>37</v>
      </c>
      <c r="B41" s="13">
        <f>'SDIT IR Malili '!B47</f>
        <v>0</v>
      </c>
      <c r="C41" s="17">
        <f>'SDIT IR Malili '!X47</f>
        <v>0</v>
      </c>
      <c r="D41" s="17">
        <f>'SDIT IR Malili '!AL47</f>
        <v>0</v>
      </c>
      <c r="E41" s="17">
        <f>'SDIT IR Malili '!AU47</f>
        <v>0</v>
      </c>
      <c r="F41" s="19">
        <f>'SDIT IR Malili '!AW47</f>
        <v>0</v>
      </c>
    </row>
    <row r="42" spans="1:6">
      <c r="A42" s="286" t="s">
        <v>32</v>
      </c>
      <c r="B42" s="286"/>
      <c r="C42" s="286"/>
      <c r="D42" s="286"/>
      <c r="E42" s="286"/>
      <c r="F42" s="18">
        <f>SUM(F5:F41)</f>
        <v>93785000</v>
      </c>
    </row>
  </sheetData>
  <mergeCells count="4">
    <mergeCell ref="A1:F1"/>
    <mergeCell ref="A2:F2"/>
    <mergeCell ref="A3:F3"/>
    <mergeCell ref="A42:E42"/>
  </mergeCells>
  <pageMargins left="0.7" right="0.7" top="0.75" bottom="0.75" header="0.3" footer="0.3"/>
  <pageSetup paperSize="1000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4A782-31E7-4F55-80F8-796585B70BE0}">
  <sheetPr>
    <tabColor rgb="FFFFFF00"/>
  </sheetPr>
  <dimension ref="A1:AH92"/>
  <sheetViews>
    <sheetView showGridLines="0" zoomScale="67" zoomScaleNormal="56" workbookViewId="0">
      <pane xSplit="2" ySplit="7" topLeftCell="C8" activePane="bottomRight" state="frozen"/>
      <selection pane="topRight"/>
      <selection pane="bottomLeft"/>
      <selection pane="bottomRight" activeCell="G17" sqref="G17"/>
    </sheetView>
  </sheetViews>
  <sheetFormatPr defaultColWidth="9.1796875" defaultRowHeight="11.5"/>
  <cols>
    <col min="1" max="1" width="4.453125" style="126" customWidth="1"/>
    <col min="2" max="2" width="29.7265625" style="126" customWidth="1"/>
    <col min="3" max="3" width="11.54296875" style="126" customWidth="1"/>
    <col min="4" max="4" width="21.54296875" style="127" bestFit="1" customWidth="1"/>
    <col min="5" max="5" width="13.26953125" style="127" bestFit="1" customWidth="1"/>
    <col min="6" max="6" width="21" style="127" bestFit="1" customWidth="1"/>
    <col min="7" max="7" width="20.54296875" style="126" customWidth="1"/>
    <col min="8" max="8" width="17.7265625" style="126" customWidth="1"/>
    <col min="9" max="9" width="14.7265625" style="126" bestFit="1" customWidth="1"/>
    <col min="10" max="10" width="19.453125" style="128" customWidth="1"/>
    <col min="11" max="11" width="23.54296875" style="126" customWidth="1"/>
    <col min="12" max="12" width="19.26953125" style="128" customWidth="1"/>
    <col min="13" max="13" width="20" style="128" bestFit="1" customWidth="1"/>
    <col min="14" max="14" width="21" style="128" bestFit="1" customWidth="1"/>
    <col min="15" max="15" width="25" style="126" customWidth="1"/>
    <col min="16" max="17" width="25.453125" style="128" customWidth="1"/>
    <col min="18" max="18" width="15" style="128" customWidth="1"/>
    <col min="19" max="19" width="22.7265625" style="126" customWidth="1"/>
    <col min="20" max="20" width="16.1796875" style="126" customWidth="1"/>
    <col min="21" max="24" width="15.26953125" style="126" customWidth="1"/>
    <col min="25" max="25" width="26.453125" style="126" customWidth="1"/>
    <col min="26" max="26" width="26.1796875" style="126" customWidth="1"/>
    <col min="27" max="27" width="21.453125" style="128" customWidth="1"/>
    <col min="28" max="29" width="21.453125" style="126" customWidth="1"/>
    <col min="30" max="30" width="29.81640625" style="126" customWidth="1"/>
    <col min="31" max="31" width="27" style="126" customWidth="1"/>
    <col min="32" max="32" width="24.7265625" style="126" customWidth="1"/>
    <col min="33" max="33" width="22.1796875" style="126" customWidth="1"/>
    <col min="34" max="34" width="29.26953125" style="126" customWidth="1"/>
    <col min="35" max="35" width="9.1796875" style="126"/>
    <col min="36" max="111" width="4.7265625" style="126" customWidth="1"/>
    <col min="112" max="16384" width="9.1796875" style="126"/>
  </cols>
  <sheetData>
    <row r="1" spans="1:34" s="120" customFormat="1" ht="18">
      <c r="A1" s="116" t="s">
        <v>90</v>
      </c>
      <c r="B1" s="117"/>
      <c r="C1" s="117"/>
      <c r="D1" s="118"/>
      <c r="E1" s="118"/>
      <c r="F1" s="118"/>
      <c r="G1" s="119"/>
      <c r="H1" s="119"/>
      <c r="I1" s="119"/>
      <c r="J1" s="117"/>
      <c r="L1" s="121"/>
      <c r="M1" s="121"/>
      <c r="N1" s="121"/>
      <c r="P1" s="121"/>
      <c r="Q1" s="121"/>
      <c r="R1" s="121"/>
      <c r="AA1" s="121"/>
    </row>
    <row r="2" spans="1:34" s="120" customFormat="1" ht="18">
      <c r="A2" s="122" t="s">
        <v>91</v>
      </c>
      <c r="B2" s="117"/>
      <c r="C2" s="117"/>
      <c r="D2" s="118"/>
      <c r="E2" s="118"/>
      <c r="F2" s="118"/>
      <c r="G2" s="119"/>
      <c r="H2" s="119"/>
      <c r="I2" s="119"/>
      <c r="J2" s="117"/>
      <c r="L2" s="121"/>
      <c r="M2" s="121"/>
      <c r="N2" s="121"/>
      <c r="P2" s="121"/>
      <c r="Q2" s="121"/>
      <c r="R2" s="121"/>
      <c r="AA2" s="121"/>
    </row>
    <row r="3" spans="1:34" s="120" customFormat="1" ht="18">
      <c r="A3" s="122" t="s">
        <v>295</v>
      </c>
      <c r="B3" s="117"/>
      <c r="C3" s="117"/>
      <c r="D3" s="118"/>
      <c r="E3" s="118"/>
      <c r="F3" s="118"/>
      <c r="G3" s="119"/>
      <c r="H3" s="119"/>
      <c r="I3" s="119"/>
      <c r="J3" s="117"/>
      <c r="L3" s="121"/>
      <c r="M3" s="121"/>
      <c r="N3" s="121"/>
      <c r="P3" s="121"/>
      <c r="Q3" s="121"/>
      <c r="R3" s="121"/>
      <c r="AA3" s="121"/>
    </row>
    <row r="4" spans="1:34" s="120" customFormat="1" ht="18">
      <c r="A4" s="123" t="s">
        <v>88</v>
      </c>
      <c r="B4" s="124"/>
      <c r="C4" s="124"/>
      <c r="D4" s="125"/>
      <c r="E4" s="125"/>
      <c r="F4" s="125"/>
      <c r="G4" s="124"/>
      <c r="H4" s="124"/>
      <c r="I4" s="124"/>
      <c r="J4" s="121"/>
      <c r="L4" s="121"/>
      <c r="M4" s="121"/>
      <c r="N4" s="121"/>
      <c r="P4" s="121"/>
      <c r="Q4" s="121"/>
      <c r="R4" s="121"/>
      <c r="AA4" s="121"/>
    </row>
    <row r="5" spans="1:34" ht="16" thickBot="1">
      <c r="A5" s="123"/>
    </row>
    <row r="6" spans="1:34" ht="20.25" customHeight="1" thickTop="1" thickBot="1">
      <c r="A6" s="184" t="s">
        <v>31</v>
      </c>
      <c r="B6" s="184" t="s">
        <v>38</v>
      </c>
      <c r="C6" s="184" t="s">
        <v>94</v>
      </c>
      <c r="D6" s="185" t="s">
        <v>95</v>
      </c>
      <c r="E6" s="185" t="s">
        <v>96</v>
      </c>
      <c r="F6" s="185" t="s">
        <v>97</v>
      </c>
      <c r="G6" s="184" t="s">
        <v>98</v>
      </c>
      <c r="H6" s="184" t="s">
        <v>99</v>
      </c>
      <c r="I6" s="184" t="s">
        <v>100</v>
      </c>
      <c r="J6" s="184" t="s">
        <v>101</v>
      </c>
      <c r="K6" s="184" t="s">
        <v>102</v>
      </c>
      <c r="L6" s="184" t="s">
        <v>103</v>
      </c>
      <c r="M6" s="184" t="s">
        <v>104</v>
      </c>
      <c r="N6" s="184" t="s">
        <v>105</v>
      </c>
      <c r="O6" s="184" t="s">
        <v>106</v>
      </c>
      <c r="P6" s="184" t="s">
        <v>107</v>
      </c>
      <c r="Q6" s="184" t="s">
        <v>108</v>
      </c>
      <c r="R6" s="184" t="s">
        <v>109</v>
      </c>
      <c r="S6" s="184" t="s">
        <v>110</v>
      </c>
      <c r="T6" s="184" t="s">
        <v>111</v>
      </c>
      <c r="U6" s="184" t="s">
        <v>112</v>
      </c>
      <c r="V6" s="184" t="s">
        <v>113</v>
      </c>
      <c r="W6" s="184" t="s">
        <v>114</v>
      </c>
      <c r="X6" s="186" t="s">
        <v>115</v>
      </c>
      <c r="Y6" s="184" t="s">
        <v>116</v>
      </c>
      <c r="Z6" s="184"/>
      <c r="AA6" s="184" t="s">
        <v>117</v>
      </c>
      <c r="AB6" s="184" t="s">
        <v>118</v>
      </c>
      <c r="AC6" s="184" t="s">
        <v>119</v>
      </c>
      <c r="AD6" s="184" t="s">
        <v>120</v>
      </c>
      <c r="AE6" s="184" t="s">
        <v>121</v>
      </c>
      <c r="AF6" s="184" t="s">
        <v>122</v>
      </c>
      <c r="AG6" s="186" t="s">
        <v>123</v>
      </c>
      <c r="AH6" s="184" t="s">
        <v>124</v>
      </c>
    </row>
    <row r="7" spans="1:34" ht="27.75" customHeight="1" thickTop="1" thickBot="1">
      <c r="A7" s="184"/>
      <c r="B7" s="184"/>
      <c r="C7" s="184"/>
      <c r="D7" s="185"/>
      <c r="E7" s="185"/>
      <c r="F7" s="185"/>
      <c r="G7" s="184"/>
      <c r="H7" s="184"/>
      <c r="I7" s="184"/>
      <c r="J7" s="184"/>
      <c r="K7" s="184"/>
      <c r="L7" s="184"/>
      <c r="M7" s="184"/>
      <c r="N7" s="184"/>
      <c r="O7" s="184"/>
      <c r="P7" s="186"/>
      <c r="Q7" s="184"/>
      <c r="R7" s="184"/>
      <c r="S7" s="184"/>
      <c r="T7" s="184"/>
      <c r="U7" s="184"/>
      <c r="V7" s="184"/>
      <c r="W7" s="184"/>
      <c r="X7" s="187"/>
      <c r="Y7" s="129" t="s">
        <v>125</v>
      </c>
      <c r="Z7" s="129" t="s">
        <v>126</v>
      </c>
      <c r="AA7" s="184"/>
      <c r="AB7" s="184"/>
      <c r="AC7" s="184"/>
      <c r="AD7" s="184"/>
      <c r="AE7" s="184"/>
      <c r="AF7" s="184"/>
      <c r="AG7" s="187"/>
      <c r="AH7" s="184"/>
    </row>
    <row r="8" spans="1:34" ht="30.65" customHeight="1" thickTop="1">
      <c r="A8" s="130">
        <v>1</v>
      </c>
      <c r="B8" s="131" t="s">
        <v>296</v>
      </c>
      <c r="C8" s="132" t="s">
        <v>128</v>
      </c>
      <c r="D8" s="136">
        <v>43647</v>
      </c>
      <c r="E8" s="134">
        <f t="shared" ref="E8:E17" ca="1" si="0">TODAY()</f>
        <v>46244</v>
      </c>
      <c r="F8" s="134" t="str">
        <f ca="1">DATEDIF(D8,E8,"y")&amp;" "&amp;"Tahun"&amp;" "&amp;DATEDIF(D8,E8,"ym")&amp;" "&amp;"Bulan"&amp;" "&amp;DATEDIF(D8,E8,"md")&amp;" "&amp;"Hari"</f>
        <v>7 Tahun 1 Bulan 9 Hari</v>
      </c>
      <c r="G8" s="132" t="s">
        <v>129</v>
      </c>
      <c r="H8" s="132"/>
      <c r="I8" s="132"/>
      <c r="J8" s="132" t="s">
        <v>297</v>
      </c>
      <c r="K8" s="135" t="s">
        <v>298</v>
      </c>
      <c r="L8" s="132" t="s">
        <v>299</v>
      </c>
      <c r="M8" s="136">
        <v>35364</v>
      </c>
      <c r="N8" s="134" t="str">
        <f ca="1">DATEDIF(M8,E8,"y")&amp;" "&amp;"Tahun"&amp;" "&amp;DATEDIF(M8,E8,"ym")&amp;" "&amp;"Bulan"&amp;" "&amp;DATEDIF(M8,E8,"md")&amp;" "&amp;"Hari"</f>
        <v>29 Tahun 9 Bulan 15 Hari</v>
      </c>
      <c r="O8" s="137"/>
      <c r="P8" s="132">
        <v>0</v>
      </c>
      <c r="Q8" s="132"/>
      <c r="R8" s="138" t="s">
        <v>274</v>
      </c>
      <c r="S8" s="132"/>
      <c r="T8" s="139" t="s">
        <v>135</v>
      </c>
      <c r="U8" s="139" t="s">
        <v>300</v>
      </c>
      <c r="V8" s="132" t="s">
        <v>137</v>
      </c>
      <c r="W8" s="132">
        <v>0</v>
      </c>
      <c r="X8" s="132">
        <v>3</v>
      </c>
      <c r="Y8" s="132"/>
      <c r="Z8" s="132"/>
      <c r="AA8" s="132"/>
      <c r="AB8" s="132">
        <v>0</v>
      </c>
      <c r="AC8" s="132">
        <v>0</v>
      </c>
      <c r="AD8" s="132">
        <v>0</v>
      </c>
      <c r="AE8" s="132">
        <v>0</v>
      </c>
      <c r="AF8" s="132">
        <v>0</v>
      </c>
      <c r="AG8" s="132">
        <v>0</v>
      </c>
      <c r="AH8" s="140"/>
    </row>
    <row r="9" spans="1:34" ht="30.65" customHeight="1">
      <c r="A9" s="141">
        <v>2</v>
      </c>
      <c r="B9" s="131" t="s">
        <v>301</v>
      </c>
      <c r="C9" s="132" t="s">
        <v>128</v>
      </c>
      <c r="D9" s="136">
        <v>43282</v>
      </c>
      <c r="E9" s="134">
        <f t="shared" ca="1" si="0"/>
        <v>46244</v>
      </c>
      <c r="F9" s="134" t="str">
        <f t="shared" ref="F9:F17" ca="1" si="1">DATEDIF(D9,E9,"y")&amp;" "&amp;"Tahun"&amp;" "&amp;DATEDIF(D9,E9,"ym")&amp;" "&amp;"Bulan"&amp;" "&amp;DATEDIF(D9,E9,"md")&amp;" "&amp;"Hari"</f>
        <v>8 Tahun 1 Bulan 9 Hari</v>
      </c>
      <c r="G9" s="132" t="s">
        <v>129</v>
      </c>
      <c r="H9" s="132"/>
      <c r="I9" s="132"/>
      <c r="J9" s="132" t="s">
        <v>239</v>
      </c>
      <c r="K9" s="135" t="s">
        <v>302</v>
      </c>
      <c r="L9" s="132" t="s">
        <v>303</v>
      </c>
      <c r="M9" s="143">
        <v>34562</v>
      </c>
      <c r="N9" s="134" t="str">
        <f ca="1">DATEDIF(M9,E9,"y")&amp;" "&amp;"Tahun"&amp;" "&amp;DATEDIF(M9,E9,"ym")&amp;" "&amp;"Bulan"&amp;" "&amp;DATEDIF(M9,E9,"md")&amp;" "&amp;"Hari"</f>
        <v>31 Tahun 11 Bulan 25 Hari</v>
      </c>
      <c r="O9" s="137"/>
      <c r="P9" s="132">
        <v>0</v>
      </c>
      <c r="Q9" s="132"/>
      <c r="R9" s="138" t="s">
        <v>133</v>
      </c>
      <c r="S9" s="132"/>
      <c r="T9" s="139" t="s">
        <v>135</v>
      </c>
      <c r="U9" s="139" t="s">
        <v>304</v>
      </c>
      <c r="V9" s="132">
        <v>0</v>
      </c>
      <c r="W9" s="132">
        <v>0</v>
      </c>
      <c r="X9" s="132">
        <v>4</v>
      </c>
      <c r="Y9" s="132"/>
      <c r="Z9" s="132">
        <v>0</v>
      </c>
      <c r="AA9" s="132"/>
      <c r="AB9" s="132">
        <v>0</v>
      </c>
      <c r="AC9" s="132">
        <v>0</v>
      </c>
      <c r="AD9" s="132">
        <v>0</v>
      </c>
      <c r="AE9" s="132">
        <v>0</v>
      </c>
      <c r="AF9" s="132">
        <v>0</v>
      </c>
      <c r="AG9" s="132">
        <v>0</v>
      </c>
      <c r="AH9" s="140"/>
    </row>
    <row r="10" spans="1:34" ht="30.65" customHeight="1">
      <c r="A10" s="130">
        <v>3</v>
      </c>
      <c r="B10" s="131" t="s">
        <v>305</v>
      </c>
      <c r="C10" s="132" t="s">
        <v>128</v>
      </c>
      <c r="D10" s="136">
        <v>41456</v>
      </c>
      <c r="E10" s="134">
        <f t="shared" ca="1" si="0"/>
        <v>46244</v>
      </c>
      <c r="F10" s="134" t="str">
        <f t="shared" ca="1" si="1"/>
        <v>13 Tahun 1 Bulan 9 Hari</v>
      </c>
      <c r="G10" s="132" t="s">
        <v>129</v>
      </c>
      <c r="H10" s="132"/>
      <c r="I10" s="132"/>
      <c r="J10" s="132" t="s">
        <v>130</v>
      </c>
      <c r="K10" s="135" t="s">
        <v>306</v>
      </c>
      <c r="L10" s="132" t="s">
        <v>307</v>
      </c>
      <c r="M10" s="143">
        <v>31652</v>
      </c>
      <c r="N10" s="134" t="str">
        <f t="shared" ref="N10:N17" ca="1" si="2">DATEDIF(M10,E10,"y")&amp;" "&amp;"Tahun"&amp;" "&amp;DATEDIF(M10,E10,"ym")&amp;" "&amp;"Bulan"&amp;" "&amp;DATEDIF(M10,E10,"md")&amp;" "&amp;"Hari"</f>
        <v>39 Tahun 11 Bulan 13 Hari</v>
      </c>
      <c r="O10" s="137"/>
      <c r="P10" s="132">
        <v>0</v>
      </c>
      <c r="Q10" s="132"/>
      <c r="R10" s="138" t="s">
        <v>133</v>
      </c>
      <c r="S10" s="132"/>
      <c r="T10" s="139" t="s">
        <v>135</v>
      </c>
      <c r="U10" s="139" t="s">
        <v>308</v>
      </c>
      <c r="V10" s="132">
        <v>0</v>
      </c>
      <c r="W10" s="132">
        <v>0</v>
      </c>
      <c r="X10" s="132">
        <v>8</v>
      </c>
      <c r="Y10" s="132"/>
      <c r="Z10" s="132">
        <v>0</v>
      </c>
      <c r="AA10" s="132"/>
      <c r="AB10" s="132">
        <v>0</v>
      </c>
      <c r="AC10" s="132">
        <v>0</v>
      </c>
      <c r="AD10" s="132">
        <v>0</v>
      </c>
      <c r="AE10" s="132">
        <v>0</v>
      </c>
      <c r="AF10" s="132">
        <v>0</v>
      </c>
      <c r="AG10" s="132">
        <v>0</v>
      </c>
      <c r="AH10" s="140"/>
    </row>
    <row r="11" spans="1:34" ht="30.65" customHeight="1">
      <c r="A11" s="141">
        <v>4</v>
      </c>
      <c r="B11" s="131" t="s">
        <v>310</v>
      </c>
      <c r="C11" s="132" t="s">
        <v>128</v>
      </c>
      <c r="D11" s="136">
        <v>45108</v>
      </c>
      <c r="E11" s="134">
        <f t="shared" ca="1" si="0"/>
        <v>46244</v>
      </c>
      <c r="F11" s="134" t="str">
        <f t="shared" ca="1" si="1"/>
        <v>3 Tahun 1 Bulan 9 Hari</v>
      </c>
      <c r="G11" s="132" t="s">
        <v>129</v>
      </c>
      <c r="H11" s="132"/>
      <c r="I11" s="132"/>
      <c r="J11" s="132" t="s">
        <v>130</v>
      </c>
      <c r="K11" s="135" t="s">
        <v>311</v>
      </c>
      <c r="L11" s="132" t="s">
        <v>312</v>
      </c>
      <c r="M11" s="143">
        <v>28656</v>
      </c>
      <c r="N11" s="134" t="str">
        <f t="shared" ca="1" si="2"/>
        <v>48 Tahun 1 Bulan 26 Hari</v>
      </c>
      <c r="O11" s="137"/>
      <c r="P11" s="132">
        <v>0</v>
      </c>
      <c r="Q11" s="132"/>
      <c r="R11" s="138" t="s">
        <v>133</v>
      </c>
      <c r="S11" s="132"/>
      <c r="T11" s="139" t="s">
        <v>135</v>
      </c>
      <c r="U11" s="139"/>
      <c r="V11" s="132">
        <v>0</v>
      </c>
      <c r="W11" s="132">
        <v>0</v>
      </c>
      <c r="X11" s="132">
        <v>3</v>
      </c>
      <c r="Y11" s="132"/>
      <c r="Z11" s="132">
        <v>0</v>
      </c>
      <c r="AA11" s="132"/>
      <c r="AB11" s="132">
        <v>0</v>
      </c>
      <c r="AC11" s="132">
        <v>0</v>
      </c>
      <c r="AD11" s="132">
        <v>0</v>
      </c>
      <c r="AE11" s="132">
        <v>0</v>
      </c>
      <c r="AF11" s="132">
        <v>0</v>
      </c>
      <c r="AG11" s="132">
        <v>0</v>
      </c>
      <c r="AH11" s="144"/>
    </row>
    <row r="12" spans="1:34" ht="30.65" customHeight="1">
      <c r="A12" s="130">
        <v>5</v>
      </c>
      <c r="B12" s="131" t="s">
        <v>313</v>
      </c>
      <c r="C12" s="132" t="s">
        <v>128</v>
      </c>
      <c r="D12" s="136">
        <v>43647</v>
      </c>
      <c r="E12" s="134">
        <f t="shared" ca="1" si="0"/>
        <v>46244</v>
      </c>
      <c r="F12" s="134" t="str">
        <f t="shared" ca="1" si="1"/>
        <v>7 Tahun 1 Bulan 9 Hari</v>
      </c>
      <c r="G12" s="132" t="s">
        <v>129</v>
      </c>
      <c r="H12" s="132"/>
      <c r="I12" s="132"/>
      <c r="J12" s="132" t="s">
        <v>314</v>
      </c>
      <c r="K12" s="135" t="s">
        <v>315</v>
      </c>
      <c r="L12" s="132" t="s">
        <v>316</v>
      </c>
      <c r="M12" s="143">
        <v>33643</v>
      </c>
      <c r="N12" s="134" t="str">
        <f t="shared" ca="1" si="2"/>
        <v>34 Tahun 6 Bulan 1 Hari</v>
      </c>
      <c r="O12" s="137"/>
      <c r="P12" s="132">
        <v>0</v>
      </c>
      <c r="Q12" s="132"/>
      <c r="R12" s="138" t="s">
        <v>155</v>
      </c>
      <c r="S12" s="132"/>
      <c r="T12" s="139" t="s">
        <v>135</v>
      </c>
      <c r="U12" s="139" t="s">
        <v>317</v>
      </c>
      <c r="V12" s="132">
        <v>0</v>
      </c>
      <c r="W12" s="132">
        <v>0</v>
      </c>
      <c r="X12" s="132">
        <v>3</v>
      </c>
      <c r="Y12" s="132"/>
      <c r="Z12" s="132">
        <v>0</v>
      </c>
      <c r="AA12" s="132"/>
      <c r="AB12" s="132">
        <v>0</v>
      </c>
      <c r="AC12" s="132">
        <v>0</v>
      </c>
      <c r="AD12" s="132">
        <v>0</v>
      </c>
      <c r="AE12" s="132">
        <v>0</v>
      </c>
      <c r="AF12" s="132">
        <v>0</v>
      </c>
      <c r="AG12" s="132">
        <v>0</v>
      </c>
      <c r="AH12" s="140"/>
    </row>
    <row r="13" spans="1:34" ht="30.65" customHeight="1">
      <c r="A13" s="141">
        <v>6</v>
      </c>
      <c r="B13" s="131" t="s">
        <v>318</v>
      </c>
      <c r="C13" s="132" t="s">
        <v>128</v>
      </c>
      <c r="D13" s="136">
        <v>43282</v>
      </c>
      <c r="E13" s="134">
        <f t="shared" ca="1" si="0"/>
        <v>46244</v>
      </c>
      <c r="F13" s="134" t="str">
        <f t="shared" ca="1" si="1"/>
        <v>8 Tahun 1 Bulan 9 Hari</v>
      </c>
      <c r="G13" s="132" t="s">
        <v>129</v>
      </c>
      <c r="H13" s="132"/>
      <c r="I13" s="132"/>
      <c r="J13" s="132" t="s">
        <v>319</v>
      </c>
      <c r="K13" s="135" t="s">
        <v>320</v>
      </c>
      <c r="L13" s="132" t="s">
        <v>321</v>
      </c>
      <c r="M13" s="143">
        <v>34824</v>
      </c>
      <c r="N13" s="134" t="str">
        <f t="shared" ca="1" si="2"/>
        <v>31 Tahun 3 Bulan 5 Hari</v>
      </c>
      <c r="O13" s="137"/>
      <c r="P13" s="132">
        <v>0</v>
      </c>
      <c r="Q13" s="132"/>
      <c r="R13" s="138" t="s">
        <v>133</v>
      </c>
      <c r="S13" s="132"/>
      <c r="T13" s="139" t="s">
        <v>135</v>
      </c>
      <c r="U13" s="139" t="s">
        <v>322</v>
      </c>
      <c r="V13" s="132">
        <v>0</v>
      </c>
      <c r="W13" s="132">
        <v>0</v>
      </c>
      <c r="X13" s="132">
        <v>0</v>
      </c>
      <c r="Y13" s="132"/>
      <c r="Z13" s="132">
        <v>0</v>
      </c>
      <c r="AA13" s="132"/>
      <c r="AB13" s="132">
        <v>0</v>
      </c>
      <c r="AC13" s="132">
        <v>0</v>
      </c>
      <c r="AD13" s="132">
        <v>0</v>
      </c>
      <c r="AE13" s="132">
        <v>0</v>
      </c>
      <c r="AF13" s="132">
        <v>0</v>
      </c>
      <c r="AG13" s="132">
        <v>0</v>
      </c>
      <c r="AH13" s="140"/>
    </row>
    <row r="14" spans="1:34" ht="30.65" customHeight="1">
      <c r="A14" s="130">
        <v>7</v>
      </c>
      <c r="B14" s="131" t="s">
        <v>323</v>
      </c>
      <c r="C14" s="132" t="s">
        <v>128</v>
      </c>
      <c r="D14" s="136">
        <v>41456</v>
      </c>
      <c r="E14" s="134">
        <f t="shared" ca="1" si="0"/>
        <v>46244</v>
      </c>
      <c r="F14" s="134" t="str">
        <f t="shared" ca="1" si="1"/>
        <v>13 Tahun 1 Bulan 9 Hari</v>
      </c>
      <c r="G14" s="132" t="s">
        <v>129</v>
      </c>
      <c r="H14" s="132"/>
      <c r="I14" s="132"/>
      <c r="J14" s="132" t="s">
        <v>324</v>
      </c>
      <c r="K14" s="135" t="s">
        <v>325</v>
      </c>
      <c r="L14" s="132" t="s">
        <v>326</v>
      </c>
      <c r="M14" s="143">
        <v>31274</v>
      </c>
      <c r="N14" s="134" t="str">
        <f t="shared" ca="1" si="2"/>
        <v>40 Tahun 11 Bulan 26 Hari</v>
      </c>
      <c r="O14" s="137"/>
      <c r="P14" s="132">
        <v>0</v>
      </c>
      <c r="Q14" s="132"/>
      <c r="R14" s="138" t="s">
        <v>133</v>
      </c>
      <c r="S14" s="132"/>
      <c r="T14" s="139" t="s">
        <v>135</v>
      </c>
      <c r="U14" s="139" t="s">
        <v>327</v>
      </c>
      <c r="V14" s="132">
        <v>0</v>
      </c>
      <c r="W14" s="132">
        <v>0</v>
      </c>
      <c r="X14" s="132">
        <v>0</v>
      </c>
      <c r="Y14" s="132"/>
      <c r="Z14" s="132">
        <v>0</v>
      </c>
      <c r="AA14" s="132"/>
      <c r="AB14" s="132">
        <v>0</v>
      </c>
      <c r="AC14" s="132">
        <v>0</v>
      </c>
      <c r="AD14" s="132">
        <v>0</v>
      </c>
      <c r="AE14" s="132">
        <v>0</v>
      </c>
      <c r="AF14" s="132">
        <v>0</v>
      </c>
      <c r="AG14" s="132">
        <v>0</v>
      </c>
      <c r="AH14" s="140"/>
    </row>
    <row r="15" spans="1:34" ht="30.65" customHeight="1">
      <c r="A15" s="141">
        <v>8</v>
      </c>
      <c r="B15" s="131" t="s">
        <v>328</v>
      </c>
      <c r="C15" s="132" t="s">
        <v>128</v>
      </c>
      <c r="D15" s="136">
        <v>43647</v>
      </c>
      <c r="E15" s="134">
        <f t="shared" ca="1" si="0"/>
        <v>46244</v>
      </c>
      <c r="F15" s="134" t="str">
        <f t="shared" ca="1" si="1"/>
        <v>7 Tahun 1 Bulan 9 Hari</v>
      </c>
      <c r="G15" s="132" t="s">
        <v>129</v>
      </c>
      <c r="H15" s="132"/>
      <c r="I15" s="132"/>
      <c r="J15" s="132" t="s">
        <v>329</v>
      </c>
      <c r="K15" s="135" t="s">
        <v>330</v>
      </c>
      <c r="L15" s="132" t="s">
        <v>154</v>
      </c>
      <c r="M15" s="143">
        <v>34635</v>
      </c>
      <c r="N15" s="134" t="str">
        <f t="shared" ca="1" si="2"/>
        <v>31 Tahun 9 Bulan 13 Hari</v>
      </c>
      <c r="O15" s="137"/>
      <c r="P15" s="132">
        <v>0</v>
      </c>
      <c r="Q15" s="132"/>
      <c r="R15" s="138" t="s">
        <v>133</v>
      </c>
      <c r="S15" s="132"/>
      <c r="T15" s="139" t="s">
        <v>135</v>
      </c>
      <c r="U15" s="139"/>
      <c r="V15" s="132">
        <v>0</v>
      </c>
      <c r="W15" s="132">
        <v>0</v>
      </c>
      <c r="X15" s="132">
        <v>2</v>
      </c>
      <c r="Y15" s="132"/>
      <c r="Z15" s="132">
        <v>0</v>
      </c>
      <c r="AA15" s="132"/>
      <c r="AB15" s="132">
        <v>0</v>
      </c>
      <c r="AC15" s="132">
        <v>0</v>
      </c>
      <c r="AD15" s="132">
        <v>0</v>
      </c>
      <c r="AE15" s="132">
        <v>0</v>
      </c>
      <c r="AF15" s="132">
        <v>0</v>
      </c>
      <c r="AG15" s="132">
        <v>0</v>
      </c>
      <c r="AH15" s="140"/>
    </row>
    <row r="16" spans="1:34" ht="30.65" customHeight="1">
      <c r="A16" s="130">
        <v>9</v>
      </c>
      <c r="B16" s="131" t="s">
        <v>331</v>
      </c>
      <c r="C16" s="132" t="s">
        <v>128</v>
      </c>
      <c r="D16" s="136">
        <v>44743</v>
      </c>
      <c r="E16" s="134">
        <f t="shared" ca="1" si="0"/>
        <v>46244</v>
      </c>
      <c r="F16" s="134" t="str">
        <f t="shared" ca="1" si="1"/>
        <v>4 Tahun 1 Bulan 9 Hari</v>
      </c>
      <c r="G16" s="132" t="s">
        <v>204</v>
      </c>
      <c r="H16" s="132"/>
      <c r="I16" s="132"/>
      <c r="J16" s="132" t="s">
        <v>130</v>
      </c>
      <c r="K16" s="135" t="s">
        <v>332</v>
      </c>
      <c r="L16" s="132" t="s">
        <v>333</v>
      </c>
      <c r="M16" s="143">
        <v>30082</v>
      </c>
      <c r="N16" s="134" t="str">
        <f t="shared" ca="1" si="2"/>
        <v>44 Tahun 2 Bulan 30 Hari</v>
      </c>
      <c r="O16" s="137"/>
      <c r="P16" s="132">
        <v>0</v>
      </c>
      <c r="Q16" s="132"/>
      <c r="R16" s="138" t="s">
        <v>133</v>
      </c>
      <c r="S16" s="132"/>
      <c r="T16" s="139" t="s">
        <v>135</v>
      </c>
      <c r="U16" s="139" t="s">
        <v>334</v>
      </c>
      <c r="V16" s="132">
        <v>0</v>
      </c>
      <c r="W16" s="132">
        <v>0</v>
      </c>
      <c r="X16" s="132">
        <v>0</v>
      </c>
      <c r="Y16" s="132"/>
      <c r="Z16" s="132">
        <v>0</v>
      </c>
      <c r="AA16" s="132"/>
      <c r="AB16" s="132">
        <v>0</v>
      </c>
      <c r="AC16" s="132">
        <v>0</v>
      </c>
      <c r="AD16" s="132">
        <v>0</v>
      </c>
      <c r="AE16" s="132">
        <v>0</v>
      </c>
      <c r="AF16" s="132">
        <v>0</v>
      </c>
      <c r="AG16" s="132">
        <v>0</v>
      </c>
      <c r="AH16" s="140"/>
    </row>
    <row r="17" spans="1:34" ht="30.65" customHeight="1">
      <c r="A17" s="141">
        <v>10</v>
      </c>
      <c r="B17" s="142" t="s">
        <v>335</v>
      </c>
      <c r="C17" s="132" t="s">
        <v>128</v>
      </c>
      <c r="D17" s="143">
        <v>45909</v>
      </c>
      <c r="E17" s="134">
        <f t="shared" ca="1" si="0"/>
        <v>46244</v>
      </c>
      <c r="F17" s="134" t="str">
        <f t="shared" ca="1" si="1"/>
        <v>0 Tahun 11 Bulan 1 Hari</v>
      </c>
      <c r="G17" s="132" t="s">
        <v>129</v>
      </c>
      <c r="H17" s="132"/>
      <c r="I17" s="132"/>
      <c r="J17" s="132" t="s">
        <v>336</v>
      </c>
      <c r="K17" s="135" t="s">
        <v>337</v>
      </c>
      <c r="L17" s="132" t="s">
        <v>303</v>
      </c>
      <c r="M17" s="143">
        <v>37433</v>
      </c>
      <c r="N17" s="134" t="str">
        <f t="shared" ca="1" si="2"/>
        <v>24 Tahun 1 Bulan 15 Hari</v>
      </c>
      <c r="O17" s="137"/>
      <c r="P17" s="132">
        <v>0</v>
      </c>
      <c r="Q17" s="132"/>
      <c r="R17" s="138" t="s">
        <v>133</v>
      </c>
      <c r="S17" s="132"/>
      <c r="T17" s="139" t="s">
        <v>145</v>
      </c>
      <c r="U17" s="139"/>
      <c r="V17" s="132">
        <v>0</v>
      </c>
      <c r="W17" s="132">
        <v>0</v>
      </c>
      <c r="X17" s="132">
        <v>0</v>
      </c>
      <c r="Y17" s="132"/>
      <c r="Z17" s="132">
        <v>0</v>
      </c>
      <c r="AA17" s="132"/>
      <c r="AB17" s="132">
        <v>0</v>
      </c>
      <c r="AC17" s="132">
        <v>0</v>
      </c>
      <c r="AD17" s="132">
        <v>0</v>
      </c>
      <c r="AE17" s="132">
        <v>0</v>
      </c>
      <c r="AF17" s="132">
        <v>0</v>
      </c>
      <c r="AG17" s="132">
        <v>0</v>
      </c>
      <c r="AH17" s="140"/>
    </row>
    <row r="18" spans="1:34" ht="20.149999999999999" customHeight="1"/>
    <row r="19" spans="1:34" ht="20.149999999999999" customHeight="1"/>
    <row r="20" spans="1:34" ht="20.149999999999999" customHeight="1"/>
    <row r="21" spans="1:34" ht="20.149999999999999" customHeight="1"/>
    <row r="22" spans="1:34" ht="20.149999999999999" customHeight="1"/>
    <row r="23" spans="1:34" ht="20.149999999999999" customHeight="1"/>
    <row r="24" spans="1:34" ht="20.149999999999999" customHeight="1"/>
    <row r="25" spans="1:34" ht="20.149999999999999" customHeight="1"/>
    <row r="26" spans="1:34" ht="20.149999999999999" customHeight="1"/>
    <row r="27" spans="1:34" ht="20.149999999999999" customHeight="1"/>
    <row r="28" spans="1:34" ht="20.149999999999999" customHeight="1"/>
    <row r="29" spans="1:34" ht="20.149999999999999" customHeight="1"/>
    <row r="30" spans="1:34" ht="20.149999999999999" customHeight="1"/>
    <row r="31" spans="1:34" ht="20.149999999999999" customHeight="1"/>
    <row r="32" spans="1:34" ht="20.149999999999999" customHeight="1"/>
    <row r="33" ht="20.149999999999999" customHeight="1"/>
    <row r="34" ht="20.149999999999999" customHeight="1"/>
    <row r="35" ht="20.149999999999999" customHeight="1"/>
    <row r="36" ht="20.149999999999999" customHeight="1"/>
    <row r="37" ht="20.149999999999999" customHeight="1"/>
    <row r="38" ht="20.149999999999999" customHeight="1"/>
    <row r="39" ht="20.149999999999999" customHeight="1"/>
    <row r="40" ht="20.149999999999999" customHeight="1"/>
    <row r="41" ht="20.149999999999999" customHeight="1"/>
    <row r="42" ht="20.149999999999999" customHeight="1"/>
    <row r="43" ht="20.149999999999999" customHeight="1"/>
    <row r="44" ht="20.149999999999999" customHeight="1"/>
    <row r="45" ht="20.149999999999999" customHeight="1"/>
    <row r="46" ht="20.149999999999999" customHeight="1"/>
    <row r="47" ht="20.149999999999999" customHeight="1"/>
    <row r="48" ht="20.149999999999999" customHeight="1"/>
    <row r="49" ht="20.149999999999999" customHeight="1"/>
    <row r="50" ht="20.149999999999999" customHeight="1"/>
    <row r="51" ht="20.149999999999999" customHeight="1"/>
    <row r="52" ht="20.149999999999999" customHeight="1"/>
    <row r="53" ht="20.149999999999999" customHeight="1"/>
    <row r="54" ht="20.149999999999999" customHeight="1"/>
    <row r="55" ht="20.149999999999999" customHeight="1"/>
    <row r="56" ht="20.149999999999999" customHeight="1"/>
    <row r="57" ht="20.149999999999999" customHeight="1"/>
    <row r="58" ht="20.149999999999999" customHeight="1"/>
    <row r="59" ht="20.149999999999999" customHeight="1"/>
    <row r="60" ht="20.149999999999999" customHeight="1"/>
    <row r="61" ht="20.149999999999999" customHeight="1"/>
    <row r="62" ht="20.149999999999999" customHeight="1"/>
    <row r="63" ht="20.149999999999999" customHeight="1"/>
    <row r="64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  <row r="70" ht="20.149999999999999" customHeight="1"/>
    <row r="71" ht="20.149999999999999" customHeight="1"/>
    <row r="72" ht="20.149999999999999" customHeight="1"/>
    <row r="73" ht="20.149999999999999" customHeight="1"/>
    <row r="74" ht="20.149999999999999" customHeight="1"/>
    <row r="75" ht="20.149999999999999" customHeight="1"/>
    <row r="76" ht="20.149999999999999" customHeight="1"/>
    <row r="77" ht="20.149999999999999" customHeight="1"/>
    <row r="78" ht="20.149999999999999" customHeight="1"/>
    <row r="79" ht="20.149999999999999" customHeight="1"/>
    <row r="80" ht="20.149999999999999" customHeight="1"/>
    <row r="81" ht="20.149999999999999" customHeight="1"/>
    <row r="82" ht="20.149999999999999" customHeight="1"/>
    <row r="83" ht="20.149999999999999" customHeight="1"/>
    <row r="84" ht="20.149999999999999" customHeight="1"/>
    <row r="85" ht="20.149999999999999" customHeight="1"/>
    <row r="86" ht="20.149999999999999" customHeight="1"/>
    <row r="87" ht="20.149999999999999" customHeight="1"/>
    <row r="88" ht="20.149999999999999" customHeight="1"/>
    <row r="89" ht="20.149999999999999" customHeight="1"/>
    <row r="90" ht="20.149999999999999" customHeight="1"/>
    <row r="91" ht="20.149999999999999" customHeight="1"/>
    <row r="92" ht="20.149999999999999" customHeight="1"/>
  </sheetData>
  <autoFilter ref="A6:AH17" xr:uid="{00000000-0009-0000-0000-000000000000}">
    <sortState xmlns:xlrd2="http://schemas.microsoft.com/office/spreadsheetml/2017/richdata2" ref="A6:AH17">
      <sortCondition ref="D6:D17"/>
    </sortState>
  </autoFilter>
  <mergeCells count="33">
    <mergeCell ref="AF6:AF7"/>
    <mergeCell ref="AG6:AG7"/>
    <mergeCell ref="AH6:AH7"/>
    <mergeCell ref="Y6:Z6"/>
    <mergeCell ref="AA6:AA7"/>
    <mergeCell ref="AB6:AB7"/>
    <mergeCell ref="AC6:AC7"/>
    <mergeCell ref="AD6:AD7"/>
    <mergeCell ref="AE6:AE7"/>
    <mergeCell ref="X6:X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L6:L7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</mergeCells>
  <pageMargins left="0.7" right="0.7" top="0.75" bottom="0.75" header="0.3" footer="0.3"/>
  <pageSetup paperSize="9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B8542-5FBF-43A7-91D2-6A311445F8B0}">
  <dimension ref="A1:AY45"/>
  <sheetViews>
    <sheetView view="pageBreakPreview" zoomScale="89" zoomScaleNormal="100" zoomScaleSheetLayoutView="89" workbookViewId="0">
      <pane xSplit="3" ySplit="7" topLeftCell="AG8" activePane="bottomRight" state="frozen"/>
      <selection pane="topRight" activeCell="D1" sqref="D1"/>
      <selection pane="bottomLeft" activeCell="A8" sqref="A8"/>
      <selection pane="bottomRight" activeCell="AH19" sqref="AH19"/>
    </sheetView>
  </sheetViews>
  <sheetFormatPr defaultColWidth="9.1796875" defaultRowHeight="14"/>
  <cols>
    <col min="1" max="1" width="3.81640625" style="58" customWidth="1"/>
    <col min="2" max="2" width="33.1796875" style="58" customWidth="1"/>
    <col min="3" max="3" width="23.453125" style="58" customWidth="1"/>
    <col min="4" max="4" width="5.81640625" style="58" customWidth="1"/>
    <col min="5" max="13" width="5" style="58" customWidth="1"/>
    <col min="14" max="14" width="12" style="58" customWidth="1"/>
    <col min="15" max="15" width="6.54296875" style="58" customWidth="1"/>
    <col min="16" max="17" width="5" style="58" customWidth="1"/>
    <col min="18" max="18" width="23" style="58" customWidth="1"/>
    <col min="19" max="19" width="5" style="58" customWidth="1"/>
    <col min="20" max="20" width="10.26953125" style="58" customWidth="1"/>
    <col min="21" max="42" width="18.453125" style="58" customWidth="1"/>
    <col min="43" max="43" width="14" style="58" customWidth="1"/>
    <col min="44" max="44" width="10.54296875" style="58" customWidth="1"/>
    <col min="45" max="45" width="14.7265625" style="58" customWidth="1"/>
    <col min="46" max="46" width="12.54296875" style="58" customWidth="1"/>
    <col min="47" max="47" width="10.54296875" style="58" customWidth="1"/>
    <col min="48" max="48" width="8.453125" style="58" customWidth="1"/>
    <col min="49" max="49" width="12.7265625" style="58" customWidth="1"/>
    <col min="50" max="50" width="26.1796875" style="58" customWidth="1"/>
    <col min="51" max="51" width="17" style="7" customWidth="1"/>
    <col min="52" max="16384" width="9.1796875" style="7"/>
  </cols>
  <sheetData>
    <row r="1" spans="1:51" s="6" customFormat="1" ht="20">
      <c r="A1" s="6" t="s">
        <v>418</v>
      </c>
    </row>
    <row r="2" spans="1:51" ht="18">
      <c r="A2" s="74" t="s">
        <v>88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</row>
    <row r="3" spans="1:51" ht="18">
      <c r="A3" s="74"/>
      <c r="B3" s="7" t="s">
        <v>269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7">
        <f>AB15/3</f>
        <v>16666.666666666668</v>
      </c>
      <c r="AH3" s="7"/>
      <c r="AI3" s="7"/>
      <c r="AJ3" s="7"/>
      <c r="AK3" s="7"/>
      <c r="AL3" s="40">
        <v>125000</v>
      </c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1" ht="18">
      <c r="A4" s="74"/>
      <c r="B4" s="7" t="s">
        <v>408</v>
      </c>
      <c r="C4" s="7"/>
      <c r="D4" s="7"/>
      <c r="E4" s="7"/>
      <c r="F4" s="7"/>
      <c r="G4" s="7"/>
      <c r="H4" s="7"/>
      <c r="I4" s="7"/>
      <c r="J4" s="7"/>
      <c r="K4" s="7"/>
      <c r="L4" s="75" t="s">
        <v>84</v>
      </c>
      <c r="M4" s="75"/>
      <c r="N4" s="75"/>
      <c r="O4" s="75"/>
      <c r="P4" s="75"/>
      <c r="Q4" s="75"/>
      <c r="R4" s="75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</row>
    <row r="5" spans="1:51" ht="18">
      <c r="A5" s="74"/>
      <c r="B5" s="107">
        <f ca="1">TODAY()</f>
        <v>46244</v>
      </c>
      <c r="C5" s="107"/>
      <c r="D5" s="107"/>
      <c r="E5" s="7"/>
      <c r="F5" s="7"/>
      <c r="G5" s="7"/>
      <c r="H5" s="7"/>
      <c r="I5" s="7"/>
      <c r="J5" s="7"/>
      <c r="K5" s="7"/>
      <c r="L5" s="76" t="s">
        <v>83</v>
      </c>
      <c r="M5" s="76"/>
      <c r="N5" s="76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1" s="1" customFormat="1" ht="10.5">
      <c r="A6" s="71" t="s">
        <v>0</v>
      </c>
      <c r="B6" s="71"/>
      <c r="C6" s="112"/>
      <c r="D6" s="112"/>
    </row>
    <row r="7" spans="1:51" s="1" customFormat="1" ht="10.5">
      <c r="A7" s="59">
        <v>1</v>
      </c>
      <c r="B7" s="59">
        <v>2</v>
      </c>
      <c r="C7" s="59">
        <v>3</v>
      </c>
      <c r="D7" s="59">
        <v>4</v>
      </c>
      <c r="E7" s="59">
        <v>5</v>
      </c>
      <c r="F7" s="59">
        <v>6</v>
      </c>
      <c r="G7" s="59">
        <v>7</v>
      </c>
      <c r="H7" s="59">
        <v>8</v>
      </c>
      <c r="I7" s="59">
        <v>9</v>
      </c>
      <c r="J7" s="59">
        <v>10</v>
      </c>
      <c r="K7" s="59">
        <v>11</v>
      </c>
      <c r="L7" s="59">
        <v>12</v>
      </c>
      <c r="M7" s="59">
        <v>13</v>
      </c>
      <c r="N7" s="59">
        <v>14</v>
      </c>
      <c r="O7" s="59">
        <v>15</v>
      </c>
      <c r="P7" s="59">
        <v>16</v>
      </c>
      <c r="Q7" s="59">
        <v>17</v>
      </c>
      <c r="R7" s="59">
        <v>18</v>
      </c>
      <c r="S7" s="59">
        <v>19</v>
      </c>
      <c r="T7" s="59">
        <v>20</v>
      </c>
      <c r="U7" s="59">
        <v>21</v>
      </c>
      <c r="V7" s="59">
        <v>22</v>
      </c>
      <c r="W7" s="59">
        <v>23</v>
      </c>
      <c r="X7" s="59">
        <v>24</v>
      </c>
      <c r="Y7" s="59">
        <v>25</v>
      </c>
      <c r="Z7" s="59">
        <v>26</v>
      </c>
      <c r="AA7" s="59">
        <v>27</v>
      </c>
      <c r="AB7" s="59">
        <v>28</v>
      </c>
      <c r="AC7" s="59">
        <v>29</v>
      </c>
      <c r="AD7" s="59">
        <v>30</v>
      </c>
      <c r="AE7" s="59">
        <v>31</v>
      </c>
      <c r="AF7" s="59">
        <v>32</v>
      </c>
      <c r="AG7" s="59">
        <v>33</v>
      </c>
      <c r="AH7" s="59">
        <v>34</v>
      </c>
      <c r="AI7" s="59">
        <v>35</v>
      </c>
      <c r="AJ7" s="59">
        <v>36</v>
      </c>
      <c r="AK7" s="59">
        <v>37</v>
      </c>
      <c r="AL7" s="59">
        <v>38</v>
      </c>
      <c r="AM7" s="59">
        <v>39</v>
      </c>
      <c r="AN7" s="59">
        <v>40</v>
      </c>
      <c r="AO7" s="59">
        <v>41</v>
      </c>
      <c r="AP7" s="59">
        <v>42</v>
      </c>
      <c r="AQ7" s="59">
        <v>43</v>
      </c>
      <c r="AR7" s="59">
        <v>44</v>
      </c>
      <c r="AS7" s="59">
        <v>45</v>
      </c>
      <c r="AT7" s="59">
        <v>46</v>
      </c>
      <c r="AU7" s="59">
        <v>47</v>
      </c>
      <c r="AV7" s="59">
        <v>48</v>
      </c>
      <c r="AW7" s="59">
        <v>49</v>
      </c>
      <c r="AX7" s="59">
        <v>50</v>
      </c>
      <c r="AY7" s="59">
        <v>51</v>
      </c>
    </row>
    <row r="8" spans="1:51" s="1" customFormat="1" ht="23.25" customHeight="1">
      <c r="A8" s="211" t="s">
        <v>1</v>
      </c>
      <c r="B8" s="211" t="s">
        <v>2</v>
      </c>
      <c r="C8" s="211" t="s">
        <v>101</v>
      </c>
      <c r="D8" s="208" t="s">
        <v>271</v>
      </c>
      <c r="E8" s="208" t="s">
        <v>3</v>
      </c>
      <c r="F8" s="208" t="s">
        <v>4</v>
      </c>
      <c r="G8" s="208" t="s">
        <v>5</v>
      </c>
      <c r="H8" s="226" t="s">
        <v>6</v>
      </c>
      <c r="I8" s="208" t="s">
        <v>7</v>
      </c>
      <c r="J8" s="226" t="s">
        <v>75</v>
      </c>
      <c r="K8" s="226" t="s">
        <v>8</v>
      </c>
      <c r="L8" s="226" t="s">
        <v>9</v>
      </c>
      <c r="M8" s="226" t="s">
        <v>76</v>
      </c>
      <c r="N8" s="214" t="s">
        <v>77</v>
      </c>
      <c r="O8" s="223" t="s">
        <v>372</v>
      </c>
      <c r="P8" s="223" t="s">
        <v>373</v>
      </c>
      <c r="Q8" s="217" t="s">
        <v>272</v>
      </c>
      <c r="R8" s="220" t="s">
        <v>70</v>
      </c>
      <c r="S8" s="223" t="s">
        <v>270</v>
      </c>
      <c r="T8" s="223" t="s">
        <v>275</v>
      </c>
      <c r="U8" s="229" t="s">
        <v>11</v>
      </c>
      <c r="V8" s="230"/>
      <c r="W8" s="230"/>
      <c r="X8" s="231"/>
      <c r="Y8" s="211" t="s">
        <v>12</v>
      </c>
      <c r="Z8" s="232" t="s">
        <v>13</v>
      </c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3"/>
      <c r="AL8" s="233"/>
      <c r="AM8" s="233"/>
      <c r="AN8" s="234" t="s">
        <v>14</v>
      </c>
      <c r="AO8" s="250" t="s">
        <v>28</v>
      </c>
      <c r="AP8" s="253" t="s">
        <v>15</v>
      </c>
      <c r="AQ8" s="254"/>
      <c r="AR8" s="255"/>
      <c r="AS8" s="5"/>
      <c r="AT8" s="5"/>
      <c r="AU8" s="5"/>
      <c r="AV8" s="5"/>
      <c r="AW8" s="256" t="s">
        <v>16</v>
      </c>
      <c r="AX8" s="259" t="s">
        <v>17</v>
      </c>
      <c r="AY8" s="259" t="s">
        <v>29</v>
      </c>
    </row>
    <row r="9" spans="1:51" s="1" customFormat="1" ht="23.25" customHeight="1">
      <c r="A9" s="212"/>
      <c r="B9" s="212"/>
      <c r="C9" s="212"/>
      <c r="D9" s="209"/>
      <c r="E9" s="209"/>
      <c r="F9" s="209"/>
      <c r="G9" s="209"/>
      <c r="H9" s="227"/>
      <c r="I9" s="209"/>
      <c r="J9" s="227"/>
      <c r="K9" s="227"/>
      <c r="L9" s="227"/>
      <c r="M9" s="227"/>
      <c r="N9" s="215"/>
      <c r="O9" s="224"/>
      <c r="P9" s="224"/>
      <c r="Q9" s="218"/>
      <c r="R9" s="221"/>
      <c r="S9" s="224"/>
      <c r="T9" s="224"/>
      <c r="U9" s="244" t="s">
        <v>30</v>
      </c>
      <c r="V9" s="229" t="s">
        <v>18</v>
      </c>
      <c r="W9" s="230"/>
      <c r="X9" s="231"/>
      <c r="Y9" s="212"/>
      <c r="Z9" s="237" t="s">
        <v>19</v>
      </c>
      <c r="AA9" s="237" t="s">
        <v>33</v>
      </c>
      <c r="AB9" s="239" t="s">
        <v>20</v>
      </c>
      <c r="AC9" s="240"/>
      <c r="AD9" s="240"/>
      <c r="AE9" s="241"/>
      <c r="AF9" s="242" t="s">
        <v>86</v>
      </c>
      <c r="AG9" s="237" t="s">
        <v>371</v>
      </c>
      <c r="AH9" s="237" t="s">
        <v>21</v>
      </c>
      <c r="AI9" s="237" t="s">
        <v>22</v>
      </c>
      <c r="AJ9" s="237" t="s">
        <v>23</v>
      </c>
      <c r="AK9" s="237" t="s">
        <v>276</v>
      </c>
      <c r="AL9" s="237" t="s">
        <v>24</v>
      </c>
      <c r="AM9" s="237" t="s">
        <v>79</v>
      </c>
      <c r="AN9" s="235"/>
      <c r="AO9" s="251"/>
      <c r="AP9" s="246" t="s">
        <v>413</v>
      </c>
      <c r="AQ9" s="248" t="s">
        <v>414</v>
      </c>
      <c r="AR9" s="246" t="s">
        <v>10</v>
      </c>
      <c r="AS9" s="246" t="s">
        <v>71</v>
      </c>
      <c r="AT9" s="246" t="s">
        <v>69</v>
      </c>
      <c r="AU9" s="246" t="s">
        <v>34</v>
      </c>
      <c r="AV9" s="246" t="s">
        <v>81</v>
      </c>
      <c r="AW9" s="257"/>
      <c r="AX9" s="260"/>
      <c r="AY9" s="260"/>
    </row>
    <row r="10" spans="1:51" s="1" customFormat="1" ht="23.25" customHeight="1">
      <c r="A10" s="213"/>
      <c r="B10" s="213"/>
      <c r="C10" s="213"/>
      <c r="D10" s="210"/>
      <c r="E10" s="210"/>
      <c r="F10" s="210"/>
      <c r="G10" s="210"/>
      <c r="H10" s="228"/>
      <c r="I10" s="210"/>
      <c r="J10" s="228"/>
      <c r="K10" s="228"/>
      <c r="L10" s="228"/>
      <c r="M10" s="228"/>
      <c r="N10" s="216"/>
      <c r="O10" s="225"/>
      <c r="P10" s="225"/>
      <c r="Q10" s="219"/>
      <c r="R10" s="222"/>
      <c r="S10" s="225"/>
      <c r="T10" s="224"/>
      <c r="U10" s="245"/>
      <c r="V10" s="4" t="s">
        <v>25</v>
      </c>
      <c r="W10" s="2" t="s">
        <v>26</v>
      </c>
      <c r="X10" s="3" t="s">
        <v>27</v>
      </c>
      <c r="Y10" s="213"/>
      <c r="Z10" s="238"/>
      <c r="AA10" s="238"/>
      <c r="AB10" s="57">
        <v>1</v>
      </c>
      <c r="AC10" s="57">
        <v>2</v>
      </c>
      <c r="AD10" s="57">
        <v>3</v>
      </c>
      <c r="AE10" s="57">
        <v>4</v>
      </c>
      <c r="AF10" s="243"/>
      <c r="AG10" s="238"/>
      <c r="AH10" s="238"/>
      <c r="AI10" s="238"/>
      <c r="AJ10" s="238"/>
      <c r="AK10" s="238"/>
      <c r="AL10" s="238"/>
      <c r="AM10" s="238"/>
      <c r="AN10" s="236"/>
      <c r="AO10" s="252"/>
      <c r="AP10" s="247"/>
      <c r="AQ10" s="249"/>
      <c r="AR10" s="247"/>
      <c r="AS10" s="247"/>
      <c r="AT10" s="247"/>
      <c r="AU10" s="247"/>
      <c r="AV10" s="247"/>
      <c r="AW10" s="258"/>
      <c r="AX10" s="261"/>
      <c r="AY10" s="261"/>
    </row>
    <row r="11" spans="1:51" ht="15" customHeight="1">
      <c r="A11" s="70">
        <v>1</v>
      </c>
      <c r="B11" s="111" t="str">
        <f>'Data Base SMP Malili'!B8</f>
        <v>Rahmat Saputra, S.H., M.Pd.</v>
      </c>
      <c r="C11" s="111" t="str">
        <f>'Data Base SMP Malili'!J8</f>
        <v>Kepala Sekolah</v>
      </c>
      <c r="D11" s="113">
        <f t="shared" ref="D11:D20" si="0">F11+I11</f>
        <v>24</v>
      </c>
      <c r="E11" s="113">
        <v>24</v>
      </c>
      <c r="F11" s="113">
        <f>E11-G11-I11</f>
        <v>24</v>
      </c>
      <c r="G11" s="113">
        <v>0</v>
      </c>
      <c r="H11" s="113">
        <f>E11-G11-I11-J11</f>
        <v>24</v>
      </c>
      <c r="I11" s="114">
        <v>0</v>
      </c>
      <c r="J11" s="113">
        <v>0</v>
      </c>
      <c r="K11" s="113">
        <f>E11-G11-L11-M11</f>
        <v>24</v>
      </c>
      <c r="L11" s="113">
        <v>0</v>
      </c>
      <c r="M11" s="113">
        <v>0</v>
      </c>
      <c r="N11" s="9">
        <v>0</v>
      </c>
      <c r="O11" s="9">
        <v>12</v>
      </c>
      <c r="P11" s="9"/>
      <c r="Q11" s="9" t="str">
        <f>'Data Base SMP Malili'!R8</f>
        <v>S2</v>
      </c>
      <c r="R11" s="9" t="str">
        <f ca="1">'Data Base SMP Malili'!F8</f>
        <v>7 Tahun 1 Bulan 9 Hari</v>
      </c>
      <c r="S11" s="51">
        <v>7</v>
      </c>
      <c r="T11" s="51" t="str">
        <f>'Data Base SMP Malili'!G8</f>
        <v>PT</v>
      </c>
      <c r="U11" s="45">
        <v>1050000</v>
      </c>
      <c r="V11" s="40">
        <v>100000</v>
      </c>
      <c r="W11" s="21">
        <f>'Data Base SMP Malili'!X8</f>
        <v>3</v>
      </c>
      <c r="X11" s="40">
        <f>W11*20000</f>
        <v>60000</v>
      </c>
      <c r="Y11" s="40">
        <f>U11+V11+X11</f>
        <v>1210000</v>
      </c>
      <c r="Z11" s="41">
        <v>500000</v>
      </c>
      <c r="AA11" s="41">
        <v>150000</v>
      </c>
      <c r="AB11" s="41"/>
      <c r="AC11" s="41"/>
      <c r="AD11" s="41"/>
      <c r="AE11" s="41"/>
      <c r="AF11" s="109">
        <f t="shared" ref="AF11:AF19" si="1">SUM(AB11:AE11)</f>
        <v>0</v>
      </c>
      <c r="AG11" s="41">
        <f t="shared" ref="AG11:AG14" si="2">P11*4500*7</f>
        <v>0</v>
      </c>
      <c r="AH11" s="41">
        <f>F11*6000</f>
        <v>144000</v>
      </c>
      <c r="AI11" s="40">
        <f>H11*4000</f>
        <v>96000</v>
      </c>
      <c r="AJ11" s="40">
        <f>K11*4000</f>
        <v>96000</v>
      </c>
      <c r="AK11" s="40">
        <f>O11*5000</f>
        <v>60000</v>
      </c>
      <c r="AL11" s="40">
        <v>150000</v>
      </c>
      <c r="AM11" s="40">
        <v>0</v>
      </c>
      <c r="AN11" s="40">
        <f t="shared" ref="AN11:AN20" si="3">SUM(Z11,AA11,AF11,AG11,AH11,AI11,AJ11,AK11,AL11)</f>
        <v>1196000</v>
      </c>
      <c r="AO11" s="40">
        <f t="shared" ref="AO11:AO20" si="4">Y11+AN11</f>
        <v>2406000</v>
      </c>
      <c r="AP11" s="40">
        <f>AO11*AQ11</f>
        <v>0</v>
      </c>
      <c r="AQ11" s="155"/>
      <c r="AR11" s="10">
        <f t="shared" ref="AR11:AR20" si="5">N11</f>
        <v>0</v>
      </c>
      <c r="AS11" s="40">
        <f>AQ11*AR11</f>
        <v>0</v>
      </c>
      <c r="AT11" s="40">
        <v>0</v>
      </c>
      <c r="AU11" s="40">
        <v>0</v>
      </c>
      <c r="AV11" s="40" t="s">
        <v>82</v>
      </c>
      <c r="AW11" s="42">
        <f>SUM(AP11,AS11,AT11,AU11)</f>
        <v>0</v>
      </c>
      <c r="AX11" s="43" t="str">
        <f t="shared" ref="AX11:AX20" si="6">B11</f>
        <v>Rahmat Saputra, S.H., M.Pd.</v>
      </c>
      <c r="AY11" s="55">
        <f>AO11-AW11</f>
        <v>2406000</v>
      </c>
    </row>
    <row r="12" spans="1:51" ht="15" customHeight="1">
      <c r="A12" s="70">
        <v>2</v>
      </c>
      <c r="B12" s="111" t="str">
        <f>'Data Base SMP Malili'!B9</f>
        <v>Samsul Bahri, S.Pd</v>
      </c>
      <c r="C12" s="111" t="str">
        <f>'Data Base SMP Malili'!J9</f>
        <v>TU</v>
      </c>
      <c r="D12" s="113">
        <f t="shared" si="0"/>
        <v>24</v>
      </c>
      <c r="E12" s="113">
        <v>24</v>
      </c>
      <c r="F12" s="113">
        <f t="shared" ref="F12:F20" si="7">E12-G12-I12</f>
        <v>24</v>
      </c>
      <c r="G12" s="113">
        <v>0</v>
      </c>
      <c r="H12" s="113">
        <f t="shared" ref="H12:H20" si="8">E12-G12-I12-J12</f>
        <v>24</v>
      </c>
      <c r="I12" s="114">
        <v>0</v>
      </c>
      <c r="J12" s="113">
        <v>0</v>
      </c>
      <c r="K12" s="113">
        <f t="shared" ref="K12:K20" si="9">E12-G12-L12-M12</f>
        <v>24</v>
      </c>
      <c r="L12" s="113">
        <v>0</v>
      </c>
      <c r="M12" s="113">
        <v>0</v>
      </c>
      <c r="N12" s="9">
        <v>0</v>
      </c>
      <c r="O12" s="9">
        <v>4</v>
      </c>
      <c r="P12" s="9"/>
      <c r="Q12" s="9" t="str">
        <f>'Data Base SMP Malili'!R9</f>
        <v>S1</v>
      </c>
      <c r="R12" s="9" t="str">
        <f ca="1">'Data Base SMP Malili'!F9</f>
        <v>8 Tahun 1 Bulan 9 Hari</v>
      </c>
      <c r="S12" s="51">
        <v>8</v>
      </c>
      <c r="T12" s="51" t="str">
        <f>'Data Base SMP Malili'!G9</f>
        <v>PT</v>
      </c>
      <c r="U12" s="45">
        <v>1050000</v>
      </c>
      <c r="V12" s="40">
        <v>100000</v>
      </c>
      <c r="W12" s="21">
        <f>'Data Base SMP Malili'!X9</f>
        <v>4</v>
      </c>
      <c r="X12" s="40">
        <f t="shared" ref="X12:X20" si="10">W12*20000</f>
        <v>80000</v>
      </c>
      <c r="Y12" s="40">
        <f>U12+V12+X12</f>
        <v>1230000</v>
      </c>
      <c r="Z12" s="41">
        <v>400000</v>
      </c>
      <c r="AA12" s="41">
        <v>150000</v>
      </c>
      <c r="AB12" s="41"/>
      <c r="AC12" s="41"/>
      <c r="AD12" s="41"/>
      <c r="AE12" s="41"/>
      <c r="AF12" s="109">
        <f t="shared" si="1"/>
        <v>0</v>
      </c>
      <c r="AG12" s="41">
        <f t="shared" si="2"/>
        <v>0</v>
      </c>
      <c r="AH12" s="41">
        <f t="shared" ref="AH12:AH14" si="11">F12*6000</f>
        <v>144000</v>
      </c>
      <c r="AI12" s="40">
        <f t="shared" ref="AI12:AI14" si="12">H12*4000</f>
        <v>96000</v>
      </c>
      <c r="AJ12" s="40">
        <f t="shared" ref="AJ12:AJ14" si="13">K12*4000</f>
        <v>96000</v>
      </c>
      <c r="AK12" s="40">
        <f t="shared" ref="AK12:AK20" si="14">O12*5000</f>
        <v>20000</v>
      </c>
      <c r="AL12" s="40">
        <v>150000</v>
      </c>
      <c r="AM12" s="40">
        <v>0</v>
      </c>
      <c r="AN12" s="40">
        <f t="shared" si="3"/>
        <v>1056000</v>
      </c>
      <c r="AO12" s="40">
        <f t="shared" si="4"/>
        <v>2286000</v>
      </c>
      <c r="AP12" s="40">
        <f t="shared" ref="AP12:AP20" si="15">AO12*AQ12</f>
        <v>0</v>
      </c>
      <c r="AQ12" s="40"/>
      <c r="AR12" s="10">
        <f t="shared" si="5"/>
        <v>0</v>
      </c>
      <c r="AS12" s="40">
        <f t="shared" ref="AS12:AS20" si="16">AQ12*AR12</f>
        <v>0</v>
      </c>
      <c r="AT12" s="40"/>
      <c r="AU12" s="40">
        <v>0</v>
      </c>
      <c r="AV12" s="40" t="s">
        <v>82</v>
      </c>
      <c r="AW12" s="42">
        <f t="shared" ref="AW12:AW20" si="17">SUM(AP12,AS12,AT12,AU12)</f>
        <v>0</v>
      </c>
      <c r="AX12" s="43" t="str">
        <f t="shared" si="6"/>
        <v>Samsul Bahri, S.Pd</v>
      </c>
      <c r="AY12" s="55">
        <f t="shared" ref="AY12:AY20" si="18">AO12-AW12</f>
        <v>2286000</v>
      </c>
    </row>
    <row r="13" spans="1:51" ht="15" customHeight="1">
      <c r="A13" s="70">
        <v>3</v>
      </c>
      <c r="B13" s="111" t="str">
        <f>'Data Base SMP Malili'!B10</f>
        <v>Andi Bay, S.Pd.I</v>
      </c>
      <c r="C13" s="111" t="str">
        <f>'Data Base SMP Malili'!J10</f>
        <v>Wali Kelas ( Mengaji )</v>
      </c>
      <c r="D13" s="113">
        <f t="shared" si="0"/>
        <v>24</v>
      </c>
      <c r="E13" s="113">
        <v>24</v>
      </c>
      <c r="F13" s="113">
        <f t="shared" si="7"/>
        <v>24</v>
      </c>
      <c r="G13" s="113">
        <v>0</v>
      </c>
      <c r="H13" s="113">
        <f t="shared" si="8"/>
        <v>24</v>
      </c>
      <c r="I13" s="114">
        <v>0</v>
      </c>
      <c r="J13" s="113">
        <v>0</v>
      </c>
      <c r="K13" s="113">
        <f t="shared" si="9"/>
        <v>24</v>
      </c>
      <c r="L13" s="113">
        <v>0</v>
      </c>
      <c r="M13" s="113">
        <v>0</v>
      </c>
      <c r="N13" s="9">
        <v>0</v>
      </c>
      <c r="O13" s="9"/>
      <c r="P13" s="9"/>
      <c r="Q13" s="9" t="str">
        <f>'Data Base SMP Malili'!R10</f>
        <v>S1</v>
      </c>
      <c r="R13" s="9" t="str">
        <f ca="1">'Data Base SMP Malili'!F10</f>
        <v>13 Tahun 1 Bulan 9 Hari</v>
      </c>
      <c r="S13" s="51">
        <v>13</v>
      </c>
      <c r="T13" s="51" t="str">
        <f>'Data Base SMP Malili'!G10</f>
        <v>PT</v>
      </c>
      <c r="U13" s="45">
        <v>1200000</v>
      </c>
      <c r="V13" s="40">
        <v>100000</v>
      </c>
      <c r="W13" s="21">
        <f>'Data Base SMP Malili'!X10</f>
        <v>8</v>
      </c>
      <c r="X13" s="40">
        <f t="shared" si="10"/>
        <v>160000</v>
      </c>
      <c r="Y13" s="40">
        <f t="shared" ref="Y13:Y20" si="19">U13+V13+X13</f>
        <v>1460000</v>
      </c>
      <c r="Z13" s="41"/>
      <c r="AA13" s="41">
        <v>300000</v>
      </c>
      <c r="AB13" s="41">
        <v>50000</v>
      </c>
      <c r="AC13" s="41"/>
      <c r="AD13" s="41"/>
      <c r="AE13" s="41"/>
      <c r="AF13" s="109">
        <f t="shared" si="1"/>
        <v>50000</v>
      </c>
      <c r="AG13" s="41">
        <f t="shared" si="2"/>
        <v>0</v>
      </c>
      <c r="AH13" s="41">
        <f t="shared" si="11"/>
        <v>144000</v>
      </c>
      <c r="AI13" s="40">
        <f t="shared" si="12"/>
        <v>96000</v>
      </c>
      <c r="AJ13" s="40">
        <f t="shared" si="13"/>
        <v>96000</v>
      </c>
      <c r="AK13" s="40">
        <f t="shared" si="14"/>
        <v>0</v>
      </c>
      <c r="AL13" s="40">
        <v>150000</v>
      </c>
      <c r="AM13" s="40">
        <v>0</v>
      </c>
      <c r="AN13" s="40">
        <f t="shared" si="3"/>
        <v>836000</v>
      </c>
      <c r="AO13" s="40">
        <f t="shared" si="4"/>
        <v>2296000</v>
      </c>
      <c r="AP13" s="40">
        <f t="shared" si="15"/>
        <v>0</v>
      </c>
      <c r="AQ13" s="40"/>
      <c r="AR13" s="10">
        <f t="shared" si="5"/>
        <v>0</v>
      </c>
      <c r="AS13" s="40">
        <f t="shared" si="16"/>
        <v>0</v>
      </c>
      <c r="AT13" s="40"/>
      <c r="AU13" s="40">
        <v>0</v>
      </c>
      <c r="AV13" s="40" t="s">
        <v>82</v>
      </c>
      <c r="AW13" s="42">
        <f t="shared" si="17"/>
        <v>0</v>
      </c>
      <c r="AX13" s="43" t="str">
        <f t="shared" si="6"/>
        <v>Andi Bay, S.Pd.I</v>
      </c>
      <c r="AY13" s="55">
        <f t="shared" si="18"/>
        <v>2296000</v>
      </c>
    </row>
    <row r="14" spans="1:51" ht="15" customHeight="1">
      <c r="A14" s="70">
        <v>4</v>
      </c>
      <c r="B14" s="111" t="str">
        <f>'Data Base SMP Malili'!B11</f>
        <v>La Ode Pola Kota, S.Pd.I</v>
      </c>
      <c r="C14" s="111" t="str">
        <f>'Data Base SMP Malili'!J11</f>
        <v>Wali Kelas ( Mengaji )</v>
      </c>
      <c r="D14" s="113">
        <f t="shared" si="0"/>
        <v>24</v>
      </c>
      <c r="E14" s="113">
        <v>24</v>
      </c>
      <c r="F14" s="113">
        <f t="shared" si="7"/>
        <v>24</v>
      </c>
      <c r="G14" s="113">
        <v>0</v>
      </c>
      <c r="H14" s="113">
        <f t="shared" si="8"/>
        <v>24</v>
      </c>
      <c r="I14" s="114">
        <v>0</v>
      </c>
      <c r="J14" s="113">
        <v>0</v>
      </c>
      <c r="K14" s="113">
        <f t="shared" si="9"/>
        <v>24</v>
      </c>
      <c r="L14" s="113">
        <v>0</v>
      </c>
      <c r="M14" s="113">
        <v>0</v>
      </c>
      <c r="N14" s="9">
        <v>0</v>
      </c>
      <c r="O14" s="9">
        <v>10</v>
      </c>
      <c r="P14" s="9"/>
      <c r="Q14" s="9" t="str">
        <f>'Data Base SMP Malili'!R11</f>
        <v>S1</v>
      </c>
      <c r="R14" s="9" t="str">
        <f ca="1">'Data Base SMP Malili'!F11</f>
        <v>3 Tahun 1 Bulan 9 Hari</v>
      </c>
      <c r="S14" s="51">
        <v>3</v>
      </c>
      <c r="T14" s="51" t="str">
        <f>'Data Base SMP Malili'!G11</f>
        <v>PT</v>
      </c>
      <c r="U14" s="45">
        <v>950000</v>
      </c>
      <c r="V14" s="40">
        <v>100000</v>
      </c>
      <c r="W14" s="21">
        <f>'Data Base SMP Malili'!X11</f>
        <v>3</v>
      </c>
      <c r="X14" s="40">
        <f t="shared" si="10"/>
        <v>60000</v>
      </c>
      <c r="Y14" s="40">
        <f t="shared" si="19"/>
        <v>1110000</v>
      </c>
      <c r="Z14" s="41">
        <v>400000</v>
      </c>
      <c r="AA14" s="41">
        <v>150000</v>
      </c>
      <c r="AB14" s="41">
        <v>50000</v>
      </c>
      <c r="AC14" s="41"/>
      <c r="AD14" s="41"/>
      <c r="AE14" s="41"/>
      <c r="AF14" s="109">
        <f t="shared" si="1"/>
        <v>50000</v>
      </c>
      <c r="AG14" s="41">
        <f t="shared" si="2"/>
        <v>0</v>
      </c>
      <c r="AH14" s="41">
        <f t="shared" si="11"/>
        <v>144000</v>
      </c>
      <c r="AI14" s="40">
        <f t="shared" si="12"/>
        <v>96000</v>
      </c>
      <c r="AJ14" s="40">
        <f t="shared" si="13"/>
        <v>96000</v>
      </c>
      <c r="AK14" s="40">
        <f t="shared" si="14"/>
        <v>50000</v>
      </c>
      <c r="AL14" s="40">
        <v>150000</v>
      </c>
      <c r="AM14" s="40">
        <v>0</v>
      </c>
      <c r="AN14" s="40">
        <f t="shared" si="3"/>
        <v>1136000</v>
      </c>
      <c r="AO14" s="40">
        <f t="shared" si="4"/>
        <v>2246000</v>
      </c>
      <c r="AP14" s="40">
        <f t="shared" si="15"/>
        <v>0</v>
      </c>
      <c r="AQ14" s="40"/>
      <c r="AR14" s="10">
        <f t="shared" si="5"/>
        <v>0</v>
      </c>
      <c r="AS14" s="40">
        <f t="shared" si="16"/>
        <v>0</v>
      </c>
      <c r="AT14" s="40"/>
      <c r="AU14" s="40">
        <v>0</v>
      </c>
      <c r="AV14" s="40" t="s">
        <v>82</v>
      </c>
      <c r="AW14" s="42">
        <f t="shared" si="17"/>
        <v>0</v>
      </c>
      <c r="AX14" s="43" t="str">
        <f t="shared" si="6"/>
        <v>La Ode Pola Kota, S.Pd.I</v>
      </c>
      <c r="AY14" s="55">
        <f t="shared" si="18"/>
        <v>2246000</v>
      </c>
    </row>
    <row r="15" spans="1:51" ht="15" customHeight="1">
      <c r="A15" s="70">
        <v>5</v>
      </c>
      <c r="B15" s="111" t="str">
        <f>'Data Base SMP Malili'!B12</f>
        <v>Isruddin</v>
      </c>
      <c r="C15" s="111" t="str">
        <f>'Data Base SMP Malili'!J12</f>
        <v>Bendahara, Pembina Asrama</v>
      </c>
      <c r="D15" s="113">
        <f t="shared" si="0"/>
        <v>24</v>
      </c>
      <c r="E15" s="113">
        <v>24</v>
      </c>
      <c r="F15" s="113">
        <f t="shared" si="7"/>
        <v>24</v>
      </c>
      <c r="G15" s="113">
        <v>0</v>
      </c>
      <c r="H15" s="113">
        <f t="shared" si="8"/>
        <v>24</v>
      </c>
      <c r="I15" s="114">
        <v>0</v>
      </c>
      <c r="J15" s="113">
        <v>0</v>
      </c>
      <c r="K15" s="113">
        <f t="shared" si="9"/>
        <v>24</v>
      </c>
      <c r="L15" s="113">
        <v>0</v>
      </c>
      <c r="M15" s="113">
        <v>0</v>
      </c>
      <c r="N15" s="9">
        <v>0</v>
      </c>
      <c r="O15" s="9"/>
      <c r="P15" s="9">
        <v>30</v>
      </c>
      <c r="Q15" s="9" t="str">
        <f>'Data Base SMP Malili'!R12</f>
        <v>SMA</v>
      </c>
      <c r="R15" s="9" t="str">
        <f ca="1">'Data Base SMP Malili'!F12</f>
        <v>7 Tahun 1 Bulan 9 Hari</v>
      </c>
      <c r="S15" s="51">
        <v>7</v>
      </c>
      <c r="T15" s="51" t="str">
        <f>'Data Base SMP Malili'!G12</f>
        <v>PT</v>
      </c>
      <c r="U15" s="45">
        <v>1050000</v>
      </c>
      <c r="V15" s="40">
        <v>100000</v>
      </c>
      <c r="W15" s="21">
        <f>'Data Base SMP Malili'!X12</f>
        <v>3</v>
      </c>
      <c r="X15" s="40">
        <f t="shared" si="10"/>
        <v>60000</v>
      </c>
      <c r="Y15" s="40">
        <f t="shared" si="19"/>
        <v>1210000</v>
      </c>
      <c r="Z15" s="41"/>
      <c r="AA15" s="41">
        <v>150000</v>
      </c>
      <c r="AB15" s="41">
        <v>50000</v>
      </c>
      <c r="AC15" s="41"/>
      <c r="AD15" s="41"/>
      <c r="AE15" s="41"/>
      <c r="AF15" s="109">
        <f t="shared" si="1"/>
        <v>50000</v>
      </c>
      <c r="AG15" s="41">
        <f>P15*4500*6</f>
        <v>810000</v>
      </c>
      <c r="AH15" s="41"/>
      <c r="AI15" s="40"/>
      <c r="AJ15" s="40"/>
      <c r="AK15" s="40">
        <f t="shared" si="14"/>
        <v>0</v>
      </c>
      <c r="AL15" s="40">
        <v>150000</v>
      </c>
      <c r="AM15" s="40">
        <v>0</v>
      </c>
      <c r="AN15" s="40">
        <f t="shared" si="3"/>
        <v>1160000</v>
      </c>
      <c r="AO15" s="40">
        <f t="shared" si="4"/>
        <v>2370000</v>
      </c>
      <c r="AP15" s="40">
        <f t="shared" si="15"/>
        <v>0</v>
      </c>
      <c r="AQ15" s="40"/>
      <c r="AR15" s="10">
        <f t="shared" si="5"/>
        <v>0</v>
      </c>
      <c r="AS15" s="40">
        <f t="shared" si="16"/>
        <v>0</v>
      </c>
      <c r="AT15" s="40"/>
      <c r="AU15" s="40">
        <v>0</v>
      </c>
      <c r="AV15" s="40" t="s">
        <v>82</v>
      </c>
      <c r="AW15" s="42">
        <f t="shared" si="17"/>
        <v>0</v>
      </c>
      <c r="AX15" s="43" t="str">
        <f t="shared" si="6"/>
        <v>Isruddin</v>
      </c>
      <c r="AY15" s="55">
        <f t="shared" si="18"/>
        <v>2370000</v>
      </c>
    </row>
    <row r="16" spans="1:51" ht="15" customHeight="1">
      <c r="A16" s="70">
        <v>6</v>
      </c>
      <c r="B16" s="111" t="str">
        <f>'Data Base SMP Malili'!B13</f>
        <v>Dahlima Jufri, S.Pd</v>
      </c>
      <c r="C16" s="111" t="str">
        <f>'Data Base SMP Malili'!J13</f>
        <v>Wali Kelas, Pembina Asrama</v>
      </c>
      <c r="D16" s="113">
        <f t="shared" si="0"/>
        <v>24</v>
      </c>
      <c r="E16" s="113">
        <v>24</v>
      </c>
      <c r="F16" s="113">
        <f t="shared" si="7"/>
        <v>24</v>
      </c>
      <c r="G16" s="113">
        <v>0</v>
      </c>
      <c r="H16" s="113">
        <f t="shared" si="8"/>
        <v>24</v>
      </c>
      <c r="I16" s="114">
        <v>0</v>
      </c>
      <c r="J16" s="113">
        <v>0</v>
      </c>
      <c r="K16" s="113">
        <f t="shared" si="9"/>
        <v>24</v>
      </c>
      <c r="L16" s="113">
        <v>0</v>
      </c>
      <c r="M16" s="113">
        <v>0</v>
      </c>
      <c r="N16" s="9">
        <v>0</v>
      </c>
      <c r="O16" s="9">
        <v>4</v>
      </c>
      <c r="P16" s="9">
        <v>30</v>
      </c>
      <c r="Q16" s="9" t="str">
        <f>'Data Base SMP Malili'!R13</f>
        <v>S1</v>
      </c>
      <c r="R16" s="9" t="str">
        <f ca="1">'Data Base SMP Malili'!F13</f>
        <v>8 Tahun 1 Bulan 9 Hari</v>
      </c>
      <c r="S16" s="51">
        <v>8</v>
      </c>
      <c r="T16" s="51" t="str">
        <f>'Data Base SMP Malili'!G13</f>
        <v>PT</v>
      </c>
      <c r="U16" s="45">
        <v>1050000</v>
      </c>
      <c r="V16" s="40"/>
      <c r="W16" s="21">
        <f>'Data Base SMP Malili'!X13</f>
        <v>0</v>
      </c>
      <c r="X16" s="40">
        <f t="shared" si="10"/>
        <v>0</v>
      </c>
      <c r="Y16" s="40">
        <f t="shared" si="19"/>
        <v>1050000</v>
      </c>
      <c r="Z16" s="41">
        <v>400000</v>
      </c>
      <c r="AA16" s="41">
        <v>150000</v>
      </c>
      <c r="AB16" s="41">
        <v>50000</v>
      </c>
      <c r="AC16" s="41"/>
      <c r="AD16" s="41"/>
      <c r="AE16" s="41"/>
      <c r="AF16" s="109">
        <f>SUM(AB16:AE16)</f>
        <v>50000</v>
      </c>
      <c r="AG16" s="41">
        <f>P16*4500*6</f>
        <v>810000</v>
      </c>
      <c r="AH16" s="41"/>
      <c r="AI16" s="40"/>
      <c r="AJ16" s="40"/>
      <c r="AK16" s="40">
        <f t="shared" si="14"/>
        <v>20000</v>
      </c>
      <c r="AL16" s="40">
        <v>150000</v>
      </c>
      <c r="AM16" s="40">
        <v>0</v>
      </c>
      <c r="AN16" s="40">
        <f t="shared" si="3"/>
        <v>1580000</v>
      </c>
      <c r="AO16" s="40">
        <f t="shared" si="4"/>
        <v>2630000</v>
      </c>
      <c r="AP16" s="40">
        <f t="shared" si="15"/>
        <v>0</v>
      </c>
      <c r="AQ16" s="40"/>
      <c r="AR16" s="10">
        <f t="shared" si="5"/>
        <v>0</v>
      </c>
      <c r="AS16" s="40">
        <f t="shared" si="16"/>
        <v>0</v>
      </c>
      <c r="AT16" s="40"/>
      <c r="AU16" s="40">
        <v>0</v>
      </c>
      <c r="AV16" s="40" t="s">
        <v>82</v>
      </c>
      <c r="AW16" s="42">
        <f t="shared" si="17"/>
        <v>0</v>
      </c>
      <c r="AX16" s="43" t="str">
        <f t="shared" si="6"/>
        <v>Dahlima Jufri, S.Pd</v>
      </c>
      <c r="AY16" s="55">
        <f t="shared" si="18"/>
        <v>2630000</v>
      </c>
    </row>
    <row r="17" spans="1:51" ht="15" customHeight="1">
      <c r="A17" s="70">
        <v>7</v>
      </c>
      <c r="B17" s="111" t="str">
        <f>'Data Base SMP Malili'!B14</f>
        <v>Gustiana R, S.Pd</v>
      </c>
      <c r="C17" s="111" t="str">
        <f>'Data Base SMP Malili'!J14</f>
        <v>Guru Mapel (Umum)</v>
      </c>
      <c r="D17" s="113">
        <f t="shared" si="0"/>
        <v>24</v>
      </c>
      <c r="E17" s="113">
        <v>24</v>
      </c>
      <c r="F17" s="113">
        <f t="shared" si="7"/>
        <v>24</v>
      </c>
      <c r="G17" s="113">
        <v>0</v>
      </c>
      <c r="H17" s="113">
        <f t="shared" si="8"/>
        <v>24</v>
      </c>
      <c r="I17" s="114">
        <v>0</v>
      </c>
      <c r="J17" s="113">
        <v>0</v>
      </c>
      <c r="K17" s="113">
        <f t="shared" si="9"/>
        <v>24</v>
      </c>
      <c r="L17" s="113">
        <v>0</v>
      </c>
      <c r="M17" s="113">
        <v>0</v>
      </c>
      <c r="N17" s="9">
        <v>0</v>
      </c>
      <c r="O17" s="9">
        <v>4</v>
      </c>
      <c r="P17" s="9"/>
      <c r="Q17" s="9" t="str">
        <f>'Data Base SMP Malili'!R14</f>
        <v>S1</v>
      </c>
      <c r="R17" s="9" t="str">
        <f ca="1">'Data Base SMP Malili'!F14</f>
        <v>13 Tahun 1 Bulan 9 Hari</v>
      </c>
      <c r="S17" s="51">
        <v>13</v>
      </c>
      <c r="T17" s="51" t="str">
        <f>'Data Base SMP Malili'!G14</f>
        <v>PT</v>
      </c>
      <c r="U17" s="45">
        <v>1200000</v>
      </c>
      <c r="V17" s="40"/>
      <c r="W17" s="21">
        <f>'Data Base SMP Malili'!X14</f>
        <v>0</v>
      </c>
      <c r="X17" s="40">
        <f t="shared" si="10"/>
        <v>0</v>
      </c>
      <c r="Y17" s="40">
        <f t="shared" si="19"/>
        <v>1200000</v>
      </c>
      <c r="Z17" s="41"/>
      <c r="AA17" s="41">
        <v>300000</v>
      </c>
      <c r="AB17" s="41"/>
      <c r="AC17" s="41"/>
      <c r="AD17" s="41"/>
      <c r="AE17" s="41"/>
      <c r="AF17" s="109">
        <f t="shared" si="1"/>
        <v>0</v>
      </c>
      <c r="AG17" s="41">
        <f t="shared" ref="AG17:AG19" si="20">P17*4500*7</f>
        <v>0</v>
      </c>
      <c r="AH17" s="41">
        <f>F17*6000</f>
        <v>144000</v>
      </c>
      <c r="AI17" s="40">
        <f t="shared" ref="AI17:AI20" si="21">H17*4000</f>
        <v>96000</v>
      </c>
      <c r="AJ17" s="40">
        <f t="shared" ref="AJ17:AJ20" si="22">K17*4000</f>
        <v>96000</v>
      </c>
      <c r="AK17" s="40">
        <f t="shared" si="14"/>
        <v>20000</v>
      </c>
      <c r="AL17" s="40">
        <v>150000</v>
      </c>
      <c r="AM17" s="40">
        <v>0</v>
      </c>
      <c r="AN17" s="40">
        <f t="shared" si="3"/>
        <v>806000</v>
      </c>
      <c r="AO17" s="40">
        <f t="shared" si="4"/>
        <v>2006000</v>
      </c>
      <c r="AP17" s="40">
        <f t="shared" si="15"/>
        <v>0</v>
      </c>
      <c r="AQ17" s="40"/>
      <c r="AR17" s="10">
        <f t="shared" si="5"/>
        <v>0</v>
      </c>
      <c r="AS17" s="40">
        <f t="shared" si="16"/>
        <v>0</v>
      </c>
      <c r="AT17" s="40"/>
      <c r="AU17" s="40">
        <v>0</v>
      </c>
      <c r="AV17" s="40" t="s">
        <v>82</v>
      </c>
      <c r="AW17" s="42">
        <f t="shared" si="17"/>
        <v>0</v>
      </c>
      <c r="AX17" s="43" t="str">
        <f t="shared" si="6"/>
        <v>Gustiana R, S.Pd</v>
      </c>
      <c r="AY17" s="55">
        <f t="shared" si="18"/>
        <v>2006000</v>
      </c>
    </row>
    <row r="18" spans="1:51" ht="15" customHeight="1">
      <c r="A18" s="70">
        <v>8</v>
      </c>
      <c r="B18" s="111" t="str">
        <f>'Data Base SMP Malili'!B15</f>
        <v>Hikmawati, S.Pd</v>
      </c>
      <c r="C18" s="111" t="str">
        <f>'Data Base SMP Malili'!J15</f>
        <v>Bendahara, TU, Wali Kelas</v>
      </c>
      <c r="D18" s="113">
        <f t="shared" si="0"/>
        <v>24</v>
      </c>
      <c r="E18" s="113">
        <v>24</v>
      </c>
      <c r="F18" s="113">
        <f t="shared" si="7"/>
        <v>24</v>
      </c>
      <c r="G18" s="113">
        <v>0</v>
      </c>
      <c r="H18" s="113">
        <f t="shared" si="8"/>
        <v>24</v>
      </c>
      <c r="I18" s="114">
        <v>0</v>
      </c>
      <c r="J18" s="113">
        <v>0</v>
      </c>
      <c r="K18" s="113">
        <f t="shared" si="9"/>
        <v>24</v>
      </c>
      <c r="L18" s="113">
        <v>0</v>
      </c>
      <c r="M18" s="113">
        <v>0</v>
      </c>
      <c r="N18" s="9">
        <v>0</v>
      </c>
      <c r="O18" s="9">
        <v>4</v>
      </c>
      <c r="P18" s="9"/>
      <c r="Q18" s="9" t="str">
        <f>'Data Base SMP Malili'!R15</f>
        <v>S1</v>
      </c>
      <c r="R18" s="9" t="str">
        <f ca="1">'Data Base SMP Malili'!F15</f>
        <v>7 Tahun 1 Bulan 9 Hari</v>
      </c>
      <c r="S18" s="51">
        <v>7</v>
      </c>
      <c r="T18" s="51" t="str">
        <f>'Data Base SMP Malili'!G15</f>
        <v>PT</v>
      </c>
      <c r="U18" s="45">
        <v>1050000</v>
      </c>
      <c r="V18" s="40"/>
      <c r="W18" s="21">
        <f>'Data Base SMP Malili'!X15</f>
        <v>2</v>
      </c>
      <c r="X18" s="40">
        <f t="shared" si="10"/>
        <v>40000</v>
      </c>
      <c r="Y18" s="40">
        <f t="shared" si="19"/>
        <v>1090000</v>
      </c>
      <c r="Z18" s="41">
        <v>400000</v>
      </c>
      <c r="AA18" s="41">
        <v>150000</v>
      </c>
      <c r="AB18" s="41">
        <v>50000</v>
      </c>
      <c r="AC18" s="41">
        <v>100000</v>
      </c>
      <c r="AD18" s="41"/>
      <c r="AE18" s="41"/>
      <c r="AF18" s="109">
        <f t="shared" si="1"/>
        <v>150000</v>
      </c>
      <c r="AG18" s="41">
        <f t="shared" si="20"/>
        <v>0</v>
      </c>
      <c r="AH18" s="41">
        <f t="shared" ref="AH18:AH20" si="23">F18*6000</f>
        <v>144000</v>
      </c>
      <c r="AI18" s="40">
        <f t="shared" si="21"/>
        <v>96000</v>
      </c>
      <c r="AJ18" s="40">
        <f t="shared" si="22"/>
        <v>96000</v>
      </c>
      <c r="AK18" s="40">
        <f t="shared" si="14"/>
        <v>20000</v>
      </c>
      <c r="AL18" s="40">
        <v>150000</v>
      </c>
      <c r="AM18" s="40">
        <v>0</v>
      </c>
      <c r="AN18" s="40">
        <f t="shared" si="3"/>
        <v>1206000</v>
      </c>
      <c r="AO18" s="40">
        <f t="shared" si="4"/>
        <v>2296000</v>
      </c>
      <c r="AP18" s="40">
        <f t="shared" si="15"/>
        <v>0</v>
      </c>
      <c r="AQ18" s="40"/>
      <c r="AR18" s="10">
        <f t="shared" si="5"/>
        <v>0</v>
      </c>
      <c r="AS18" s="40">
        <f t="shared" si="16"/>
        <v>0</v>
      </c>
      <c r="AT18" s="40"/>
      <c r="AU18" s="40">
        <v>0</v>
      </c>
      <c r="AV18" s="40" t="s">
        <v>82</v>
      </c>
      <c r="AW18" s="42">
        <f t="shared" si="17"/>
        <v>0</v>
      </c>
      <c r="AX18" s="43" t="str">
        <f t="shared" si="6"/>
        <v>Hikmawati, S.Pd</v>
      </c>
      <c r="AY18" s="55">
        <f t="shared" si="18"/>
        <v>2296000</v>
      </c>
    </row>
    <row r="19" spans="1:51" ht="15" customHeight="1">
      <c r="A19" s="70">
        <v>9</v>
      </c>
      <c r="B19" s="111" t="str">
        <f>'Data Base SMP Malili'!B16</f>
        <v>Asma Djaling, S.Pd</v>
      </c>
      <c r="C19" s="111" t="str">
        <f>'Data Base SMP Malili'!J16</f>
        <v>Wali Kelas ( Mengaji )</v>
      </c>
      <c r="D19" s="113">
        <f t="shared" si="0"/>
        <v>24</v>
      </c>
      <c r="E19" s="113">
        <v>24</v>
      </c>
      <c r="F19" s="113">
        <f t="shared" si="7"/>
        <v>24</v>
      </c>
      <c r="G19" s="113">
        <v>0</v>
      </c>
      <c r="H19" s="113">
        <f t="shared" si="8"/>
        <v>24</v>
      </c>
      <c r="I19" s="114">
        <v>0</v>
      </c>
      <c r="J19" s="113">
        <v>0</v>
      </c>
      <c r="K19" s="113">
        <f t="shared" si="9"/>
        <v>24</v>
      </c>
      <c r="L19" s="113">
        <v>0</v>
      </c>
      <c r="M19" s="113">
        <v>0</v>
      </c>
      <c r="N19" s="9">
        <v>0</v>
      </c>
      <c r="O19" s="9">
        <v>4</v>
      </c>
      <c r="P19" s="9"/>
      <c r="Q19" s="9" t="str">
        <f>'Data Base SMP Malili'!R16</f>
        <v>S1</v>
      </c>
      <c r="R19" s="9" t="str">
        <f ca="1">'Data Base SMP Malili'!F16</f>
        <v>4 Tahun 1 Bulan 9 Hari</v>
      </c>
      <c r="S19" s="51">
        <v>4</v>
      </c>
      <c r="T19" s="51" t="str">
        <f>'Data Base SMP Malili'!G16</f>
        <v>PK</v>
      </c>
      <c r="U19" s="45">
        <v>950000</v>
      </c>
      <c r="V19" s="40"/>
      <c r="W19" s="21">
        <f>'Data Base SMP Malili'!X16</f>
        <v>0</v>
      </c>
      <c r="X19" s="40">
        <f t="shared" si="10"/>
        <v>0</v>
      </c>
      <c r="Y19" s="40">
        <f t="shared" si="19"/>
        <v>950000</v>
      </c>
      <c r="Z19" s="41"/>
      <c r="AA19" s="41">
        <v>150000</v>
      </c>
      <c r="AB19" s="41">
        <v>50000</v>
      </c>
      <c r="AC19" s="41"/>
      <c r="AD19" s="41"/>
      <c r="AE19" s="41"/>
      <c r="AF19" s="109">
        <f t="shared" si="1"/>
        <v>50000</v>
      </c>
      <c r="AG19" s="41">
        <f t="shared" si="20"/>
        <v>0</v>
      </c>
      <c r="AH19" s="41">
        <f t="shared" si="23"/>
        <v>144000</v>
      </c>
      <c r="AI19" s="40">
        <f t="shared" si="21"/>
        <v>96000</v>
      </c>
      <c r="AJ19" s="40">
        <f t="shared" si="22"/>
        <v>96000</v>
      </c>
      <c r="AK19" s="40">
        <f t="shared" si="14"/>
        <v>20000</v>
      </c>
      <c r="AL19" s="40">
        <v>150000</v>
      </c>
      <c r="AM19" s="40">
        <v>0</v>
      </c>
      <c r="AN19" s="40">
        <f t="shared" si="3"/>
        <v>706000</v>
      </c>
      <c r="AO19" s="40">
        <f t="shared" si="4"/>
        <v>1656000</v>
      </c>
      <c r="AP19" s="40">
        <f t="shared" si="15"/>
        <v>0</v>
      </c>
      <c r="AQ19" s="40"/>
      <c r="AR19" s="10">
        <f t="shared" si="5"/>
        <v>0</v>
      </c>
      <c r="AS19" s="40">
        <f t="shared" si="16"/>
        <v>0</v>
      </c>
      <c r="AT19" s="40"/>
      <c r="AU19" s="40">
        <v>0</v>
      </c>
      <c r="AV19" s="40" t="s">
        <v>82</v>
      </c>
      <c r="AW19" s="42">
        <f t="shared" si="17"/>
        <v>0</v>
      </c>
      <c r="AX19" s="43" t="str">
        <f t="shared" si="6"/>
        <v>Asma Djaling, S.Pd</v>
      </c>
      <c r="AY19" s="55">
        <f t="shared" si="18"/>
        <v>1656000</v>
      </c>
    </row>
    <row r="20" spans="1:51" ht="15" customHeight="1">
      <c r="A20" s="70">
        <v>10</v>
      </c>
      <c r="B20" s="111" t="str">
        <f>'Data Base SMP Malili'!B17</f>
        <v>Nursakia, S.H</v>
      </c>
      <c r="C20" s="111" t="str">
        <f>'Data Base SMP Malili'!J17</f>
        <v>Pembina Asrama</v>
      </c>
      <c r="D20" s="113">
        <f t="shared" si="0"/>
        <v>24</v>
      </c>
      <c r="E20" s="113">
        <v>24</v>
      </c>
      <c r="F20" s="113">
        <f t="shared" si="7"/>
        <v>24</v>
      </c>
      <c r="G20" s="113">
        <v>0</v>
      </c>
      <c r="H20" s="113">
        <f t="shared" si="8"/>
        <v>24</v>
      </c>
      <c r="I20" s="114">
        <v>0</v>
      </c>
      <c r="J20" s="113">
        <v>0</v>
      </c>
      <c r="K20" s="113">
        <f t="shared" si="9"/>
        <v>24</v>
      </c>
      <c r="L20" s="113">
        <v>0</v>
      </c>
      <c r="M20" s="113">
        <v>0</v>
      </c>
      <c r="N20" s="9">
        <v>0</v>
      </c>
      <c r="O20" s="9">
        <v>4</v>
      </c>
      <c r="P20" s="9">
        <v>30</v>
      </c>
      <c r="Q20" s="9" t="str">
        <f>'Data Base SMP Malili'!R17</f>
        <v>S1</v>
      </c>
      <c r="R20" s="9" t="str">
        <f ca="1">'Data Base SMP Malili'!F17</f>
        <v>0 Tahun 11 Bulan 1 Hari</v>
      </c>
      <c r="S20" s="51">
        <v>0</v>
      </c>
      <c r="T20" s="51" t="str">
        <f>'Data Base SMP Malili'!G17</f>
        <v>PT</v>
      </c>
      <c r="U20" s="45">
        <v>500000</v>
      </c>
      <c r="V20" s="40"/>
      <c r="W20" s="21">
        <f>'Data Base SMP Malili'!X17</f>
        <v>0</v>
      </c>
      <c r="X20" s="40">
        <f t="shared" si="10"/>
        <v>0</v>
      </c>
      <c r="Y20" s="40">
        <f t="shared" si="19"/>
        <v>500000</v>
      </c>
      <c r="Z20" s="41"/>
      <c r="AA20" s="41">
        <v>150000</v>
      </c>
      <c r="AB20" s="41"/>
      <c r="AC20" s="41"/>
      <c r="AD20" s="41"/>
      <c r="AE20" s="41"/>
      <c r="AF20" s="109">
        <f>SUM(AB20:AE20)</f>
        <v>0</v>
      </c>
      <c r="AG20" s="41">
        <f>P20*4500*6</f>
        <v>810000</v>
      </c>
      <c r="AH20" s="41">
        <f t="shared" si="23"/>
        <v>144000</v>
      </c>
      <c r="AI20" s="40">
        <f t="shared" si="21"/>
        <v>96000</v>
      </c>
      <c r="AJ20" s="40">
        <f t="shared" si="22"/>
        <v>96000</v>
      </c>
      <c r="AK20" s="40">
        <f t="shared" si="14"/>
        <v>20000</v>
      </c>
      <c r="AL20" s="40">
        <v>150000</v>
      </c>
      <c r="AM20" s="40">
        <v>0</v>
      </c>
      <c r="AN20" s="40">
        <f t="shared" si="3"/>
        <v>1466000</v>
      </c>
      <c r="AO20" s="40">
        <f t="shared" si="4"/>
        <v>1966000</v>
      </c>
      <c r="AP20" s="40">
        <f t="shared" si="15"/>
        <v>0</v>
      </c>
      <c r="AQ20" s="40"/>
      <c r="AR20" s="10">
        <f t="shared" si="5"/>
        <v>0</v>
      </c>
      <c r="AS20" s="40">
        <f t="shared" si="16"/>
        <v>0</v>
      </c>
      <c r="AT20" s="40"/>
      <c r="AU20" s="40">
        <v>0</v>
      </c>
      <c r="AV20" s="40" t="s">
        <v>82</v>
      </c>
      <c r="AW20" s="42">
        <f t="shared" si="17"/>
        <v>0</v>
      </c>
      <c r="AX20" s="43" t="str">
        <f t="shared" si="6"/>
        <v>Nursakia, S.H</v>
      </c>
      <c r="AY20" s="55">
        <f t="shared" si="18"/>
        <v>1966000</v>
      </c>
    </row>
    <row r="21" spans="1:51" ht="15" customHeight="1">
      <c r="A21" s="70">
        <v>11</v>
      </c>
      <c r="B21" s="111"/>
      <c r="C21" s="111"/>
      <c r="D21" s="113"/>
      <c r="E21" s="113"/>
      <c r="F21" s="113"/>
      <c r="G21" s="113"/>
      <c r="H21" s="113"/>
      <c r="I21" s="114"/>
      <c r="J21" s="113"/>
      <c r="K21" s="113"/>
      <c r="L21" s="113"/>
      <c r="M21" s="113"/>
      <c r="N21" s="9"/>
      <c r="O21" s="9"/>
      <c r="P21" s="9"/>
      <c r="Q21" s="9"/>
      <c r="R21" s="9"/>
      <c r="S21" s="51"/>
      <c r="T21" s="51"/>
      <c r="U21" s="45"/>
      <c r="V21" s="40"/>
      <c r="W21" s="21"/>
      <c r="X21" s="40"/>
      <c r="Y21" s="40"/>
      <c r="Z21" s="41"/>
      <c r="AA21" s="41"/>
      <c r="AB21" s="41"/>
      <c r="AC21" s="41"/>
      <c r="AD21" s="41"/>
      <c r="AE21" s="41"/>
      <c r="AF21" s="109"/>
      <c r="AG21" s="41"/>
      <c r="AH21" s="41"/>
      <c r="AI21" s="40"/>
      <c r="AJ21" s="40"/>
      <c r="AK21" s="40"/>
      <c r="AL21" s="40"/>
      <c r="AM21" s="40"/>
      <c r="AN21" s="40"/>
      <c r="AO21" s="40"/>
      <c r="AP21" s="40"/>
      <c r="AQ21" s="40"/>
      <c r="AR21" s="10"/>
      <c r="AS21" s="40"/>
      <c r="AT21" s="40"/>
      <c r="AU21" s="40"/>
      <c r="AV21" s="40"/>
      <c r="AW21" s="42"/>
      <c r="AX21" s="43"/>
      <c r="AY21" s="55"/>
    </row>
    <row r="22" spans="1:51" ht="15" customHeight="1">
      <c r="A22" s="70">
        <v>12</v>
      </c>
      <c r="B22" s="111"/>
      <c r="C22" s="111"/>
      <c r="D22" s="113"/>
      <c r="E22" s="113"/>
      <c r="F22" s="113"/>
      <c r="G22" s="113"/>
      <c r="H22" s="113"/>
      <c r="I22" s="114"/>
      <c r="J22" s="113"/>
      <c r="K22" s="113"/>
      <c r="L22" s="113"/>
      <c r="M22" s="113"/>
      <c r="N22" s="9"/>
      <c r="O22" s="9"/>
      <c r="P22" s="9"/>
      <c r="Q22" s="9"/>
      <c r="R22" s="9"/>
      <c r="S22" s="51"/>
      <c r="T22" s="51"/>
      <c r="U22" s="45"/>
      <c r="V22" s="40"/>
      <c r="W22" s="21"/>
      <c r="X22" s="40"/>
      <c r="Y22" s="40"/>
      <c r="Z22" s="41"/>
      <c r="AA22" s="41"/>
      <c r="AB22" s="41"/>
      <c r="AC22" s="41"/>
      <c r="AD22" s="41"/>
      <c r="AE22" s="41"/>
      <c r="AF22" s="109"/>
      <c r="AG22" s="41"/>
      <c r="AH22" s="41"/>
      <c r="AI22" s="40"/>
      <c r="AJ22" s="40"/>
      <c r="AK22" s="40"/>
      <c r="AL22" s="40"/>
      <c r="AM22" s="40"/>
      <c r="AN22" s="40"/>
      <c r="AO22" s="40"/>
      <c r="AP22" s="40"/>
      <c r="AQ22" s="40"/>
      <c r="AR22" s="10"/>
      <c r="AS22" s="40"/>
      <c r="AT22" s="40"/>
      <c r="AU22" s="40"/>
      <c r="AV22" s="40"/>
      <c r="AW22" s="42"/>
      <c r="AX22" s="43"/>
      <c r="AY22" s="55"/>
    </row>
    <row r="23" spans="1:51" s="9" customFormat="1">
      <c r="A23" s="70"/>
      <c r="B23" s="111"/>
      <c r="C23" s="111"/>
      <c r="D23" s="111"/>
      <c r="E23" s="20"/>
      <c r="F23" s="20"/>
      <c r="H23" s="20"/>
      <c r="K23" s="20"/>
      <c r="S23" s="51"/>
      <c r="T23" s="51"/>
      <c r="U23" s="48"/>
      <c r="V23" s="40"/>
      <c r="W23" s="21"/>
      <c r="X23" s="40"/>
      <c r="Y23" s="40"/>
      <c r="Z23" s="41"/>
      <c r="AA23" s="41"/>
      <c r="AB23" s="41"/>
      <c r="AC23" s="41"/>
      <c r="AD23" s="41"/>
      <c r="AE23" s="41"/>
      <c r="AF23" s="41"/>
      <c r="AG23" s="41"/>
      <c r="AH23" s="41"/>
      <c r="AI23" s="40"/>
      <c r="AJ23" s="40"/>
      <c r="AK23" s="40"/>
      <c r="AL23" s="40"/>
      <c r="AM23" s="40"/>
      <c r="AN23" s="40"/>
      <c r="AO23" s="40"/>
      <c r="AP23" s="40"/>
      <c r="AQ23" s="40"/>
      <c r="AR23" s="10"/>
      <c r="AS23" s="40"/>
      <c r="AT23" s="40"/>
      <c r="AU23" s="40"/>
      <c r="AV23" s="40"/>
      <c r="AW23" s="42"/>
      <c r="AX23" s="43"/>
      <c r="AY23" s="55"/>
    </row>
    <row r="24" spans="1:51" s="9" customFormat="1">
      <c r="A24" s="70"/>
      <c r="B24" s="111"/>
      <c r="C24" s="111"/>
      <c r="D24" s="111"/>
      <c r="E24" s="20"/>
      <c r="F24" s="20"/>
      <c r="H24" s="20"/>
      <c r="K24" s="20"/>
      <c r="S24" s="51"/>
      <c r="T24" s="51"/>
      <c r="U24" s="48"/>
      <c r="V24" s="40"/>
      <c r="W24" s="21"/>
      <c r="X24" s="40"/>
      <c r="Y24" s="40"/>
      <c r="Z24" s="41"/>
      <c r="AA24" s="41"/>
      <c r="AB24" s="41"/>
      <c r="AC24" s="41"/>
      <c r="AD24" s="41"/>
      <c r="AE24" s="41"/>
      <c r="AF24" s="41"/>
      <c r="AG24" s="41"/>
      <c r="AH24" s="41"/>
      <c r="AI24" s="40"/>
      <c r="AJ24" s="40"/>
      <c r="AK24" s="40"/>
      <c r="AL24" s="40"/>
      <c r="AM24" s="40"/>
      <c r="AN24" s="40"/>
      <c r="AO24" s="40"/>
      <c r="AP24" s="40"/>
      <c r="AQ24" s="40"/>
      <c r="AR24" s="10"/>
      <c r="AS24" s="40"/>
      <c r="AT24" s="40"/>
      <c r="AU24" s="40"/>
      <c r="AV24" s="40"/>
      <c r="AW24" s="42"/>
      <c r="AX24" s="43"/>
      <c r="AY24" s="55">
        <f>SUM(AY11:AY22)</f>
        <v>22158000</v>
      </c>
    </row>
    <row r="25" spans="1:51" s="9" customFormat="1">
      <c r="A25" s="70"/>
      <c r="B25" s="111">
        <f>'Data Base Guru SD'!B44</f>
        <v>0</v>
      </c>
      <c r="C25" s="111"/>
      <c r="D25" s="111"/>
      <c r="E25" s="20"/>
      <c r="F25" s="20"/>
      <c r="H25" s="20"/>
      <c r="K25" s="20"/>
      <c r="R25" s="9">
        <f>'Data Base Guru SD'!F44</f>
        <v>0</v>
      </c>
      <c r="S25" s="51"/>
      <c r="T25" s="51"/>
      <c r="U25" s="48"/>
      <c r="V25" s="40"/>
      <c r="W25" s="21"/>
      <c r="X25" s="40"/>
      <c r="Y25" s="40"/>
      <c r="Z25" s="41"/>
      <c r="AA25" s="41"/>
      <c r="AB25" s="41"/>
      <c r="AC25" s="41"/>
      <c r="AD25" s="41"/>
      <c r="AE25" s="41"/>
      <c r="AF25" s="41"/>
      <c r="AG25" s="41"/>
      <c r="AH25" s="41"/>
      <c r="AI25" s="40"/>
      <c r="AJ25" s="40"/>
      <c r="AK25" s="40"/>
      <c r="AL25" s="40"/>
      <c r="AM25" s="40"/>
      <c r="AN25" s="40"/>
      <c r="AO25" s="40"/>
      <c r="AP25" s="40"/>
      <c r="AQ25" s="40"/>
      <c r="AR25" s="10"/>
      <c r="AS25" s="40"/>
      <c r="AT25" s="40"/>
      <c r="AU25" s="40"/>
      <c r="AV25" s="40"/>
      <c r="AW25" s="42"/>
      <c r="AX25" s="43"/>
      <c r="AY25" s="55"/>
    </row>
    <row r="26" spans="1:51">
      <c r="A26" s="61"/>
      <c r="B26" s="67"/>
      <c r="C26" s="67"/>
      <c r="D26" s="67"/>
      <c r="E26" s="68"/>
      <c r="U26" s="62"/>
      <c r="V26" s="60"/>
      <c r="W26" s="63"/>
      <c r="X26" s="54"/>
      <c r="Y26" s="54"/>
      <c r="Z26" s="64"/>
      <c r="AA26" s="64"/>
      <c r="AB26" s="64"/>
      <c r="AC26" s="64"/>
      <c r="AD26" s="64"/>
      <c r="AE26" s="64"/>
      <c r="AF26" s="64"/>
      <c r="AG26" s="64"/>
      <c r="AH26" s="64"/>
      <c r="AI26" s="54"/>
      <c r="AJ26" s="54"/>
      <c r="AK26" s="60"/>
      <c r="AL26" s="60"/>
      <c r="AM26" s="69"/>
      <c r="AN26" s="54"/>
      <c r="AO26" s="54"/>
      <c r="AP26" s="54"/>
      <c r="AQ26" s="60"/>
      <c r="AR26" s="65"/>
      <c r="AS26" s="60"/>
      <c r="AT26" s="60"/>
      <c r="AU26" s="60"/>
      <c r="AV26" s="60"/>
      <c r="AW26" s="54"/>
      <c r="AX26" s="66"/>
      <c r="AY26" s="46"/>
    </row>
    <row r="27" spans="1:51">
      <c r="A27" s="61"/>
      <c r="B27" s="67"/>
      <c r="C27" s="67"/>
      <c r="D27" s="67"/>
      <c r="E27" s="68"/>
      <c r="U27" s="62"/>
      <c r="V27" s="60"/>
      <c r="W27" s="63"/>
      <c r="X27" s="54"/>
      <c r="Y27" s="54"/>
      <c r="Z27" s="64"/>
      <c r="AA27" s="64"/>
      <c r="AB27" s="64"/>
      <c r="AC27" s="64"/>
      <c r="AD27" s="64"/>
      <c r="AE27" s="64"/>
      <c r="AF27" s="64"/>
      <c r="AG27" s="64"/>
      <c r="AH27" s="64"/>
      <c r="AI27" s="54"/>
      <c r="AJ27" s="54"/>
      <c r="AK27" s="60"/>
      <c r="AL27" s="60"/>
      <c r="AM27" s="69"/>
      <c r="AN27" s="54"/>
      <c r="AO27" s="54"/>
      <c r="AP27" s="54"/>
      <c r="AQ27" s="60"/>
      <c r="AR27" s="65"/>
      <c r="AS27" s="60"/>
      <c r="AT27" s="60"/>
      <c r="AU27" s="60"/>
      <c r="AV27" s="60"/>
      <c r="AW27" s="54"/>
      <c r="AX27" s="66"/>
      <c r="AY27" s="46"/>
    </row>
    <row r="42" spans="15:51" s="58" customFormat="1">
      <c r="O42" s="53"/>
      <c r="P42" s="53"/>
      <c r="Q42" s="53"/>
      <c r="R42" s="53"/>
      <c r="AY42" s="7"/>
    </row>
    <row r="43" spans="15:51" s="58" customFormat="1" ht="14.15" customHeight="1">
      <c r="O43" s="78"/>
      <c r="P43" s="78"/>
      <c r="Q43" s="78"/>
      <c r="R43" s="78"/>
      <c r="AY43" s="7"/>
    </row>
    <row r="44" spans="15:51" s="58" customFormat="1">
      <c r="O44" s="78"/>
      <c r="P44" s="78"/>
      <c r="Q44" s="78"/>
      <c r="R44" s="78"/>
      <c r="AY44" s="7"/>
    </row>
    <row r="45" spans="15:51" s="58" customFormat="1">
      <c r="O45" s="78"/>
      <c r="P45" s="78"/>
      <c r="Q45" s="78"/>
      <c r="R45" s="78"/>
      <c r="AY45" s="7"/>
    </row>
  </sheetData>
  <mergeCells count="49">
    <mergeCell ref="AO8:AO10"/>
    <mergeCell ref="AP8:AR8"/>
    <mergeCell ref="AW8:AW10"/>
    <mergeCell ref="AX8:AX10"/>
    <mergeCell ref="AY8:AY10"/>
    <mergeCell ref="AT9:AT10"/>
    <mergeCell ref="AU9:AU10"/>
    <mergeCell ref="AV9:AV10"/>
    <mergeCell ref="AP9:AP10"/>
    <mergeCell ref="AQ9:AQ10"/>
    <mergeCell ref="AR9:AR10"/>
    <mergeCell ref="AS9:AS10"/>
    <mergeCell ref="U9:U10"/>
    <mergeCell ref="V9:X9"/>
    <mergeCell ref="Z9:Z10"/>
    <mergeCell ref="T8:T10"/>
    <mergeCell ref="U8:X8"/>
    <mergeCell ref="Y8:Y10"/>
    <mergeCell ref="Z8:AM8"/>
    <mergeCell ref="AM9:AM10"/>
    <mergeCell ref="AH9:AH10"/>
    <mergeCell ref="AI9:AI10"/>
    <mergeCell ref="AJ9:AJ10"/>
    <mergeCell ref="AK9:AK10"/>
    <mergeCell ref="AL9:AL10"/>
    <mergeCell ref="AN8:AN10"/>
    <mergeCell ref="AA9:AA10"/>
    <mergeCell ref="AB9:AE9"/>
    <mergeCell ref="AF9:AF10"/>
    <mergeCell ref="AG9:AG10"/>
    <mergeCell ref="N8:N10"/>
    <mergeCell ref="Q8:Q10"/>
    <mergeCell ref="R8:R10"/>
    <mergeCell ref="S8:S10"/>
    <mergeCell ref="H8:H10"/>
    <mergeCell ref="I8:I10"/>
    <mergeCell ref="J8:J10"/>
    <mergeCell ref="K8:K10"/>
    <mergeCell ref="L8:L10"/>
    <mergeCell ref="M8:M10"/>
    <mergeCell ref="O8:O10"/>
    <mergeCell ref="P8:P10"/>
    <mergeCell ref="G8:G10"/>
    <mergeCell ref="A8:A10"/>
    <mergeCell ref="B8:B10"/>
    <mergeCell ref="D8:D10"/>
    <mergeCell ref="E8:E10"/>
    <mergeCell ref="F8:F10"/>
    <mergeCell ref="C8:C10"/>
  </mergeCells>
  <pageMargins left="0.70866141732283461" right="0.70866141732283461" top="0.74803149606299213" bottom="0.74803149606299213" header="0.31496062992125984" footer="0.31496062992125984"/>
  <pageSetup paperSize="256" scale="56" orientation="landscape" horizontalDpi="4294967293" verticalDpi="300" r:id="rId1"/>
  <colBreaks count="1" manualBreakCount="1">
    <brk id="33" max="57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0FCD1-B36C-4F77-B286-87F19A8AF408}">
  <dimension ref="A2:H35"/>
  <sheetViews>
    <sheetView topLeftCell="A20" zoomScale="130" zoomScaleNormal="130" workbookViewId="0">
      <selection activeCell="D29" sqref="D29"/>
    </sheetView>
  </sheetViews>
  <sheetFormatPr defaultColWidth="9.1796875" defaultRowHeight="14.5"/>
  <cols>
    <col min="1" max="1" width="9.1796875" style="22"/>
    <col min="2" max="2" width="11.1796875" style="22" customWidth="1"/>
    <col min="3" max="3" width="26.7265625" style="22" customWidth="1"/>
    <col min="4" max="4" width="24.1796875" style="22" customWidth="1"/>
    <col min="5" max="5" width="19.1796875" style="22" customWidth="1"/>
    <col min="6" max="16384" width="9.1796875" style="22"/>
  </cols>
  <sheetData>
    <row r="2" spans="1:8" ht="15" thickBot="1"/>
    <row r="3" spans="1:8">
      <c r="A3" s="23"/>
      <c r="B3" s="24"/>
      <c r="C3" s="24"/>
      <c r="D3" s="264" t="s">
        <v>39</v>
      </c>
      <c r="E3" s="265"/>
      <c r="H3" s="266">
        <v>1</v>
      </c>
    </row>
    <row r="4" spans="1:8">
      <c r="A4" s="25"/>
      <c r="D4" s="267" t="s">
        <v>45</v>
      </c>
      <c r="E4" s="268"/>
      <c r="H4" s="266"/>
    </row>
    <row r="5" spans="1:8">
      <c r="A5" s="25"/>
      <c r="D5" s="26" t="s">
        <v>46</v>
      </c>
      <c r="E5" s="34">
        <f>IF(LEN(VLOOKUP(H3,'SMP Malili'!$A$11:$AX$49,21,FALSE))=0," ",VLOOKUP(H3,'SMP Malili'!$A$11:$AX$49,21,FALSE))</f>
        <v>1050000</v>
      </c>
    </row>
    <row r="6" spans="1:8">
      <c r="A6" s="25"/>
      <c r="D6" s="26" t="s">
        <v>47</v>
      </c>
      <c r="E6" s="34">
        <f>IF(LEN(VLOOKUP(H3,'SMP Malili'!$A$11:$AW$49,22,FALSE))=0," ",VLOOKUP(H3,'SMP Malili'!$A$11:$AW$49,22,FALSE))</f>
        <v>100000</v>
      </c>
    </row>
    <row r="7" spans="1:8">
      <c r="A7" s="269" t="s">
        <v>40</v>
      </c>
      <c r="B7" s="270"/>
      <c r="C7" s="271"/>
      <c r="D7" s="26" t="s">
        <v>48</v>
      </c>
      <c r="E7" s="34">
        <f>IF(LEN(VLOOKUP(H3,'SMP Malili'!$A$11:$AW$49,24,FALSE))=0,"0",VLOOKUP(H3,'SMP Malili'!$A$11:$AW$49,24,FALSE))</f>
        <v>60000</v>
      </c>
    </row>
    <row r="8" spans="1:8">
      <c r="A8" s="25" t="s">
        <v>31</v>
      </c>
      <c r="B8" s="272">
        <f>IF(LEN(VLOOKUP(H3,'SMP Malili'!$A$11:$AX$49,1,FALSE))=0," ",VLOOKUP(H3,'SMP Malili'!$A$11:$AX$49,1,FALSE))</f>
        <v>1</v>
      </c>
      <c r="C8" s="273"/>
      <c r="D8" s="27" t="s">
        <v>49</v>
      </c>
      <c r="E8" s="35">
        <f>SUM(E5:E7)</f>
        <v>1210000</v>
      </c>
    </row>
    <row r="9" spans="1:8">
      <c r="A9" s="25" t="s">
        <v>38</v>
      </c>
      <c r="B9" s="272" t="str">
        <f>IF(LEN(VLOOKUP(H3,'SMP Malili'!$A$11:$AX$49,2,FALSE))=0," ",VLOOKUP(H3,'SMP Malili'!$A$11:$AX$49,2,FALSE))</f>
        <v>Rahmat Saputra, S.H., M.Pd.</v>
      </c>
      <c r="C9" s="273"/>
      <c r="D9" s="33" t="s">
        <v>50</v>
      </c>
      <c r="E9" s="36"/>
    </row>
    <row r="10" spans="1:8">
      <c r="A10" s="25"/>
      <c r="C10" s="56"/>
      <c r="D10" s="26" t="s">
        <v>51</v>
      </c>
      <c r="E10" s="34">
        <f>IF(LEN(VLOOKUP(H3,'SMP Malili'!$A$11:$AW$49,26,FALSE))=0,"0",VLOOKUP(H3,'SMP Malili'!$A$11:$AW$49,26,FALSE))</f>
        <v>500000</v>
      </c>
    </row>
    <row r="11" spans="1:8" ht="15.75" customHeight="1">
      <c r="A11" s="274" t="str">
        <f>'SMP Malili'!B3</f>
        <v>Periode 26 Juni 2026 s/d 25 Juli 2026</v>
      </c>
      <c r="B11" s="275"/>
      <c r="C11" s="276"/>
      <c r="D11" s="26" t="s">
        <v>404</v>
      </c>
      <c r="E11" s="34">
        <f>IF(LEN(VLOOKUP(H3,'SMP Malili'!$A$11:$AW$49,27,FALSE))=0,"0",VLOOKUP(H3,'SMP Malili'!$A$11:$AW$49,27,FALSE))</f>
        <v>150000</v>
      </c>
    </row>
    <row r="12" spans="1:8" ht="15.75" customHeight="1">
      <c r="A12" s="274" t="str">
        <f>'SMP Malili'!B4</f>
        <v>SMPIT</v>
      </c>
      <c r="B12" s="275"/>
      <c r="C12" s="276"/>
      <c r="D12" s="26" t="s">
        <v>52</v>
      </c>
      <c r="E12" s="39">
        <f>IF(LEN(VLOOKUP(H3,'SMP Malili'!$A$11:$AW$49,32,FALSE))=0,"0",VLOOKUP(H3,'SMP Malili'!$A$11:$AW$49,32,FALSE))</f>
        <v>0</v>
      </c>
    </row>
    <row r="13" spans="1:8">
      <c r="A13" s="28" t="s">
        <v>41</v>
      </c>
      <c r="C13" s="38">
        <f>IF(LEN(VLOOKUP(H3,'SMP Malili'!$A$11:$AX$49,5,FALSE))=0," ",VLOOKUP(H3,'SMP Malili'!$A$11:$AX$49,5,FALSE))</f>
        <v>24</v>
      </c>
      <c r="D13" s="26" t="s">
        <v>411</v>
      </c>
      <c r="E13" s="34">
        <f>IF(LEN(VLOOKUP(H3,'SMP Malili'!$A$11:$AW$49,33,FALSE))=0,"0",VLOOKUP(H3,'SMP Malili'!$A$11:$AW$49,33,FALSE))</f>
        <v>0</v>
      </c>
    </row>
    <row r="14" spans="1:8">
      <c r="A14" s="25" t="s">
        <v>42</v>
      </c>
      <c r="C14" s="38">
        <f>IF(LEN(VLOOKUP(H3,'SMP Malili'!$A$11:$AX$49,6,FALSE))=0," ",VLOOKUP(H3,'SMP Malili'!$A$11:$AX$49,6,FALSE))</f>
        <v>24</v>
      </c>
      <c r="D14" s="26" t="s">
        <v>410</v>
      </c>
      <c r="E14" s="34"/>
    </row>
    <row r="15" spans="1:8">
      <c r="A15" s="25" t="s">
        <v>43</v>
      </c>
      <c r="C15" s="38">
        <f>IF(LEN(VLOOKUP(H3,'SMP Malili'!$A$11:$AX$49,7,FALSE))=0," ",VLOOKUP(H3,'SMP Malili'!$A$11:$AX$49,7,FALSE))</f>
        <v>0</v>
      </c>
      <c r="D15" s="26" t="s">
        <v>54</v>
      </c>
      <c r="E15" s="34">
        <f>IF(LEN(VLOOKUP(H3,'SMP Malili'!$A$11:$AW$49,35,FALSE))=0,"0",VLOOKUP(H3,'SMP Malili'!$A$11:$AW$49,35,FALSE))</f>
        <v>96000</v>
      </c>
    </row>
    <row r="16" spans="1:8">
      <c r="A16" s="25" t="s">
        <v>44</v>
      </c>
      <c r="C16" s="38">
        <f>IF(LEN(VLOOKUP(H3,'SMP Malili'!$A$11:$AX$49,9,FALSE))=0," ",VLOOKUP(H3,'SMP Malili'!$A$11:$AX$49,9,FALSE))</f>
        <v>0</v>
      </c>
      <c r="D16" s="26" t="s">
        <v>55</v>
      </c>
      <c r="E16" s="34">
        <f>IF(LEN(VLOOKUP(H3,'SMP Malili'!$A$11:$AW$49,36,FALSE))=0,"0",VLOOKUP(H3,'SMP Malili'!$A$11:$AW$49,36,FALSE))</f>
        <v>96000</v>
      </c>
    </row>
    <row r="17" spans="1:5">
      <c r="A17" s="25" t="s">
        <v>403</v>
      </c>
      <c r="C17" s="38">
        <f>IF(LEN(VLOOKUP(H3,'SMP Malili'!$A$11:$AX$49,13,FALSE))=0," ",VLOOKUP(H3,'SMP Malili'!$A$11:$AX$49,13,FALSE))</f>
        <v>0</v>
      </c>
      <c r="D17" s="26" t="s">
        <v>56</v>
      </c>
      <c r="E17" s="34">
        <f>IF(LEN(VLOOKUP(H3,'SMP Malili'!$A$11:$AW$49,34,FALSE))=0,"0",VLOOKUP(H3,'SMP Malili'!$A$11:$AW$49,34,FALSE))</f>
        <v>144000</v>
      </c>
    </row>
    <row r="18" spans="1:5">
      <c r="A18" s="25" t="s">
        <v>73</v>
      </c>
      <c r="C18" s="50">
        <f>IF(LEN(VLOOKUP(H3,'SMP Malili'!$A$11:$AX$49,10,FALSE))=0," ",VLOOKUP(H3,'SMP Malili'!$A$11:$AX$49,10,FALSE))</f>
        <v>0</v>
      </c>
      <c r="D18" s="26" t="s">
        <v>58</v>
      </c>
      <c r="E18" s="34">
        <f>IF(LEN(VLOOKUP(H3,'SMP Malili'!$A$11:$AW$49,37,FALSE))=0,"0",VLOOKUP(H3,'SMP Malili'!$A$11:$AW$49,37,FALSE))</f>
        <v>60000</v>
      </c>
    </row>
    <row r="19" spans="1:5">
      <c r="A19" s="25" t="s">
        <v>74</v>
      </c>
      <c r="C19" s="50">
        <f>IF(LEN(VLOOKUP(H3,'SMP Malili'!$A$11:$AX$49,12,FALSE))=0," ",VLOOKUP(H3,'SMP Malili'!$A$11:$AX$49,12,FALSE))</f>
        <v>0</v>
      </c>
      <c r="D19" s="26" t="s">
        <v>59</v>
      </c>
      <c r="E19" s="34">
        <f>IF(LEN(VLOOKUP(H3,'SMP Malili'!$A$11:$AW$49,38,FALSE))=0,"0",VLOOKUP(H3,'SMP Malili'!$A$11:$AW$49,38,FALSE))</f>
        <v>150000</v>
      </c>
    </row>
    <row r="20" spans="1:5">
      <c r="A20" s="25" t="s">
        <v>81</v>
      </c>
      <c r="C20" s="52" t="str">
        <f>IF(LEN(VLOOKUP(H3,'SMP Malili'!$A$11:$AX$49,48,FALSE))=0,"0",VLOOKUP(H3,'SMP Malili'!$A$11:$AX$49,48,FALSE))</f>
        <v>A</v>
      </c>
      <c r="D20" s="26" t="s">
        <v>78</v>
      </c>
      <c r="E20" s="34">
        <f>IF(LEN(VLOOKUP(H3,'SMP Malili'!$A$11:$AW$49,39,FALSE))=0,"0",VLOOKUP(H3,'SMP Malili'!$A$11:$AW$49,39,FALSE))</f>
        <v>0</v>
      </c>
    </row>
    <row r="21" spans="1:5" ht="13.5" customHeight="1">
      <c r="A21" s="277" t="s">
        <v>57</v>
      </c>
      <c r="B21" s="278"/>
      <c r="C21" s="279"/>
      <c r="D21" s="26"/>
      <c r="E21" s="34"/>
    </row>
    <row r="22" spans="1:5">
      <c r="A22" s="277"/>
      <c r="B22" s="278"/>
      <c r="C22" s="279"/>
      <c r="D22" s="26"/>
      <c r="E22" s="34"/>
    </row>
    <row r="23" spans="1:5">
      <c r="A23" s="277"/>
      <c r="B23" s="278"/>
      <c r="C23" s="279"/>
      <c r="D23" s="26"/>
      <c r="E23" s="34"/>
    </row>
    <row r="24" spans="1:5">
      <c r="A24" s="277"/>
      <c r="B24" s="278"/>
      <c r="C24" s="279"/>
      <c r="D24" s="27" t="s">
        <v>60</v>
      </c>
      <c r="E24" s="35">
        <f>SUM(E10:E23)</f>
        <v>1196000</v>
      </c>
    </row>
    <row r="25" spans="1:5" ht="18.75" customHeight="1">
      <c r="A25" s="44" t="s">
        <v>68</v>
      </c>
      <c r="B25" s="280">
        <f ca="1">'SMP Malili'!B5</f>
        <v>46244</v>
      </c>
      <c r="C25" s="281"/>
      <c r="D25" s="33" t="s">
        <v>61</v>
      </c>
      <c r="E25" s="37"/>
    </row>
    <row r="26" spans="1:5">
      <c r="A26" s="29"/>
      <c r="B26" s="30"/>
      <c r="C26" s="30"/>
      <c r="D26" s="26" t="s">
        <v>62</v>
      </c>
      <c r="E26" s="34">
        <f>IF(LEN(VLOOKUP(H3,'SMP Malili'!$A$11:$AW$49,46,FALSE))=0,"0",VLOOKUP(H3,'SMP Malili'!$A$11:$AW$49,46,FALSE))</f>
        <v>0</v>
      </c>
    </row>
    <row r="27" spans="1:5">
      <c r="A27" s="25"/>
      <c r="D27" s="26" t="s">
        <v>72</v>
      </c>
      <c r="E27" s="34">
        <f>IF(LEN(VLOOKUP(H3,'SMP Malili'!$A$11:$AW$49,45,FALSE))=0,"0",VLOOKUP(H3,'SMP Malili'!$A$11:$AW$49,45,FALSE))</f>
        <v>0</v>
      </c>
    </row>
    <row r="28" spans="1:5">
      <c r="A28" s="25"/>
      <c r="D28" s="26" t="s">
        <v>63</v>
      </c>
      <c r="E28" s="34">
        <f>IF(LEN(VLOOKUP(H3,'SMP Malili'!$A$11:$AW$49,47,FALSE))=0,"0",VLOOKUP(H3,'SMP Malili'!$A$11:$AW$49,47,FALSE))</f>
        <v>0</v>
      </c>
    </row>
    <row r="29" spans="1:5">
      <c r="A29" s="25"/>
      <c r="D29" s="26" t="s">
        <v>415</v>
      </c>
      <c r="E29" s="34">
        <f>IF(LEN(VLOOKUP(H3,'SMP Malili'!$A$11:$AW$49,42,FALSE))=0,"0",VLOOKUP(H3,'SMP Malili'!$A$11:$AW$49,42,FALSE))</f>
        <v>0</v>
      </c>
    </row>
    <row r="30" spans="1:5">
      <c r="A30" s="25"/>
      <c r="D30" s="27" t="s">
        <v>64</v>
      </c>
      <c r="E30" s="35">
        <f>SUM(E26:E29)</f>
        <v>0</v>
      </c>
    </row>
    <row r="31" spans="1:5">
      <c r="A31" s="25"/>
      <c r="B31" s="22" t="s">
        <v>402</v>
      </c>
      <c r="D31" s="33" t="s">
        <v>65</v>
      </c>
      <c r="E31" s="37"/>
    </row>
    <row r="32" spans="1:5">
      <c r="A32" s="25"/>
      <c r="D32" s="27" t="s">
        <v>66</v>
      </c>
      <c r="E32" s="35">
        <f>SUM(E8,E24)</f>
        <v>2406000</v>
      </c>
    </row>
    <row r="33" spans="1:5">
      <c r="A33" s="25"/>
      <c r="D33" s="27" t="s">
        <v>64</v>
      </c>
      <c r="E33" s="35">
        <f>E30</f>
        <v>0</v>
      </c>
    </row>
    <row r="34" spans="1:5">
      <c r="A34" s="25"/>
      <c r="D34" s="282" t="s">
        <v>67</v>
      </c>
      <c r="E34" s="262">
        <f>E32-E33</f>
        <v>2406000</v>
      </c>
    </row>
    <row r="35" spans="1:5" ht="15" thickBot="1">
      <c r="A35" s="31"/>
      <c r="B35" s="32"/>
      <c r="C35" s="32"/>
      <c r="D35" s="283"/>
      <c r="E35" s="263"/>
    </row>
  </sheetData>
  <mergeCells count="12">
    <mergeCell ref="E34:E35"/>
    <mergeCell ref="D3:E3"/>
    <mergeCell ref="H3:H4"/>
    <mergeCell ref="D4:E4"/>
    <mergeCell ref="A7:C7"/>
    <mergeCell ref="B8:C8"/>
    <mergeCell ref="B9:C9"/>
    <mergeCell ref="A11:C11"/>
    <mergeCell ref="A12:C12"/>
    <mergeCell ref="A21:C24"/>
    <mergeCell ref="B25:C25"/>
    <mergeCell ref="D34:D35"/>
  </mergeCells>
  <pageMargins left="0.7" right="0.7" top="0.75" bottom="0.75" header="0.3" footer="0.3"/>
  <pageSetup scale="99" orientation="portrait" r:id="rId1"/>
  <colBreaks count="1" manualBreakCount="1">
    <brk id="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3283-0BB9-4100-BD0E-7816F8BC1F6E}">
  <dimension ref="A1:F17"/>
  <sheetViews>
    <sheetView topLeftCell="A9" zoomScaleNormal="100" workbookViewId="0">
      <selection activeCell="E21" sqref="E21"/>
    </sheetView>
  </sheetViews>
  <sheetFormatPr defaultColWidth="9.1796875" defaultRowHeight="14"/>
  <cols>
    <col min="1" max="1" width="9.1796875" style="11"/>
    <col min="2" max="2" width="30.26953125" style="11" customWidth="1"/>
    <col min="3" max="3" width="22.1796875" style="11" customWidth="1"/>
    <col min="4" max="5" width="26.7265625" style="11" customWidth="1"/>
    <col min="6" max="6" width="24.26953125" style="11" customWidth="1"/>
    <col min="7" max="16384" width="9.1796875" style="11"/>
  </cols>
  <sheetData>
    <row r="1" spans="1:6" ht="22.5" customHeight="1">
      <c r="A1" s="284" t="s">
        <v>80</v>
      </c>
      <c r="B1" s="284"/>
      <c r="C1" s="284"/>
      <c r="D1" s="284"/>
      <c r="E1" s="284"/>
      <c r="F1" s="284"/>
    </row>
    <row r="2" spans="1:6" ht="22.5" customHeight="1">
      <c r="A2" s="284" t="str">
        <f>'SMP Malili'!B3</f>
        <v>Periode 26 Juni 2026 s/d 25 Juli 2026</v>
      </c>
      <c r="B2" s="284"/>
      <c r="C2" s="284"/>
      <c r="D2" s="284"/>
      <c r="E2" s="284"/>
      <c r="F2" s="284"/>
    </row>
    <row r="3" spans="1:6" ht="22.5" customHeight="1">
      <c r="A3" s="285" t="str">
        <f>'SMP Malili'!B4</f>
        <v>SMPIT</v>
      </c>
      <c r="B3" s="285"/>
      <c r="C3" s="285"/>
      <c r="D3" s="285"/>
      <c r="E3" s="285"/>
      <c r="F3" s="285"/>
    </row>
    <row r="4" spans="1:6" ht="31">
      <c r="A4" s="14" t="s">
        <v>1</v>
      </c>
      <c r="B4" s="16" t="s">
        <v>2</v>
      </c>
      <c r="C4" s="16" t="s">
        <v>35</v>
      </c>
      <c r="D4" s="16" t="s">
        <v>36</v>
      </c>
      <c r="E4" s="16" t="s">
        <v>37</v>
      </c>
      <c r="F4" s="15" t="s">
        <v>29</v>
      </c>
    </row>
    <row r="5" spans="1:6" ht="18.75" customHeight="1">
      <c r="A5" s="12">
        <v>1</v>
      </c>
      <c r="B5" s="13" t="str">
        <f>'SMP Malili'!B11</f>
        <v>Rahmat Saputra, S.H., M.Pd.</v>
      </c>
      <c r="C5" s="17">
        <f>'SMP Malili'!Y11</f>
        <v>1210000</v>
      </c>
      <c r="D5" s="17">
        <f>'SMP Malili'!AN11</f>
        <v>1196000</v>
      </c>
      <c r="E5" s="17">
        <f>'SMP Malili'!AW11</f>
        <v>0</v>
      </c>
      <c r="F5" s="19">
        <f>'SMP Malili'!AY11</f>
        <v>2406000</v>
      </c>
    </row>
    <row r="6" spans="1:6" ht="18.75" customHeight="1">
      <c r="A6" s="12">
        <v>2</v>
      </c>
      <c r="B6" s="13" t="str">
        <f>'SMP Malili'!B12</f>
        <v>Samsul Bahri, S.Pd</v>
      </c>
      <c r="C6" s="17">
        <f>'SMP Malili'!Y12</f>
        <v>1230000</v>
      </c>
      <c r="D6" s="17">
        <f>'SMP Malili'!AN12</f>
        <v>1056000</v>
      </c>
      <c r="E6" s="17">
        <f>'SMP Malili'!AW12</f>
        <v>0</v>
      </c>
      <c r="F6" s="19">
        <f>'SMP Malili'!AY12</f>
        <v>2286000</v>
      </c>
    </row>
    <row r="7" spans="1:6" ht="18.75" customHeight="1">
      <c r="A7" s="12">
        <v>3</v>
      </c>
      <c r="B7" s="13" t="str">
        <f>'SMP Malili'!B13</f>
        <v>Andi Bay, S.Pd.I</v>
      </c>
      <c r="C7" s="17">
        <f>'SMP Malili'!Y13</f>
        <v>1460000</v>
      </c>
      <c r="D7" s="17">
        <f>'SMP Malili'!AN13</f>
        <v>836000</v>
      </c>
      <c r="E7" s="17">
        <f>'SMP Malili'!AW13</f>
        <v>0</v>
      </c>
      <c r="F7" s="19">
        <f>'SMP Malili'!AY13</f>
        <v>2296000</v>
      </c>
    </row>
    <row r="8" spans="1:6" ht="18.75" customHeight="1">
      <c r="A8" s="12">
        <v>4</v>
      </c>
      <c r="B8" s="13" t="str">
        <f>'SMP Malili'!B14</f>
        <v>La Ode Pola Kota, S.Pd.I</v>
      </c>
      <c r="C8" s="17">
        <f>'SMP Malili'!Y14</f>
        <v>1110000</v>
      </c>
      <c r="D8" s="17">
        <f>'SMP Malili'!AN14</f>
        <v>1136000</v>
      </c>
      <c r="E8" s="17">
        <f>'SMP Malili'!AW14</f>
        <v>0</v>
      </c>
      <c r="F8" s="19">
        <f>'SMP Malili'!AY14</f>
        <v>2246000</v>
      </c>
    </row>
    <row r="9" spans="1:6" ht="18.75" customHeight="1">
      <c r="A9" s="12">
        <v>5</v>
      </c>
      <c r="B9" s="13" t="str">
        <f>'SMP Malili'!B15</f>
        <v>Isruddin</v>
      </c>
      <c r="C9" s="17">
        <f>'SMP Malili'!Y15</f>
        <v>1210000</v>
      </c>
      <c r="D9" s="17">
        <f>'SMP Malili'!AN15</f>
        <v>1160000</v>
      </c>
      <c r="E9" s="17">
        <f>'SMP Malili'!AW15</f>
        <v>0</v>
      </c>
      <c r="F9" s="19">
        <f>'SMP Malili'!AY15</f>
        <v>2370000</v>
      </c>
    </row>
    <row r="10" spans="1:6" ht="18.75" customHeight="1">
      <c r="A10" s="12">
        <v>6</v>
      </c>
      <c r="B10" s="13" t="str">
        <f>'SMP Malili'!B16</f>
        <v>Dahlima Jufri, S.Pd</v>
      </c>
      <c r="C10" s="17">
        <f>'SMP Malili'!Y16</f>
        <v>1050000</v>
      </c>
      <c r="D10" s="17">
        <f>'SMP Malili'!AN16</f>
        <v>1580000</v>
      </c>
      <c r="E10" s="17">
        <f>'SMP Malili'!AW16</f>
        <v>0</v>
      </c>
      <c r="F10" s="19">
        <f>'SMP Malili'!AY16</f>
        <v>2630000</v>
      </c>
    </row>
    <row r="11" spans="1:6" ht="18.75" customHeight="1">
      <c r="A11" s="12">
        <v>7</v>
      </c>
      <c r="B11" s="13" t="str">
        <f>'SMP Malili'!B17</f>
        <v>Gustiana R, S.Pd</v>
      </c>
      <c r="C11" s="17">
        <f>'SMP Malili'!Y17</f>
        <v>1200000</v>
      </c>
      <c r="D11" s="17">
        <f>'SMP Malili'!AN17</f>
        <v>806000</v>
      </c>
      <c r="E11" s="17">
        <f>'SMP Malili'!AW17</f>
        <v>0</v>
      </c>
      <c r="F11" s="19">
        <f>'SMP Malili'!AY17</f>
        <v>2006000</v>
      </c>
    </row>
    <row r="12" spans="1:6" ht="18.75" customHeight="1">
      <c r="A12" s="12">
        <v>8</v>
      </c>
      <c r="B12" s="13" t="str">
        <f>'SMP Malili'!B18</f>
        <v>Hikmawati, S.Pd</v>
      </c>
      <c r="C12" s="17">
        <f>'SMP Malili'!Y18</f>
        <v>1090000</v>
      </c>
      <c r="D12" s="17">
        <f>'SMP Malili'!AN18</f>
        <v>1206000</v>
      </c>
      <c r="E12" s="17">
        <f>'SMP Malili'!AW18</f>
        <v>0</v>
      </c>
      <c r="F12" s="19">
        <f>'SMP Malili'!AY18</f>
        <v>2296000</v>
      </c>
    </row>
    <row r="13" spans="1:6" ht="18.75" customHeight="1">
      <c r="A13" s="12">
        <v>9</v>
      </c>
      <c r="B13" s="13" t="str">
        <f>'SMP Malili'!B19</f>
        <v>Asma Djaling, S.Pd</v>
      </c>
      <c r="C13" s="17">
        <f>'SMP Malili'!Y19</f>
        <v>950000</v>
      </c>
      <c r="D13" s="17">
        <f>'SMP Malili'!AN19</f>
        <v>706000</v>
      </c>
      <c r="E13" s="17">
        <f>'SMP Malili'!AW19</f>
        <v>0</v>
      </c>
      <c r="F13" s="19">
        <f>'SMP Malili'!AY19</f>
        <v>1656000</v>
      </c>
    </row>
    <row r="14" spans="1:6" ht="18.75" customHeight="1">
      <c r="A14" s="12">
        <v>10</v>
      </c>
      <c r="B14" s="13" t="str">
        <f>'SMP Malili'!B20</f>
        <v>Nursakia, S.H</v>
      </c>
      <c r="C14" s="17">
        <f>'SMP Malili'!Y20</f>
        <v>500000</v>
      </c>
      <c r="D14" s="17">
        <f>'SMP Malili'!AN20</f>
        <v>1466000</v>
      </c>
      <c r="E14" s="17">
        <f>'SMP Malili'!AW20</f>
        <v>0</v>
      </c>
      <c r="F14" s="19">
        <f>'SMP Malili'!AY20</f>
        <v>1966000</v>
      </c>
    </row>
    <row r="15" spans="1:6" ht="18.75" customHeight="1">
      <c r="A15" s="12">
        <v>11</v>
      </c>
      <c r="B15" s="13">
        <f>'SMP Malili'!B21</f>
        <v>0</v>
      </c>
      <c r="C15" s="17">
        <f>'SMP Malili'!Y21</f>
        <v>0</v>
      </c>
      <c r="D15" s="17">
        <f>'SMP Malili'!AN21</f>
        <v>0</v>
      </c>
      <c r="E15" s="17">
        <f>'SMP Malili'!AW21</f>
        <v>0</v>
      </c>
      <c r="F15" s="19">
        <f>'SMP Malili'!AY21</f>
        <v>0</v>
      </c>
    </row>
    <row r="16" spans="1:6" ht="18.75" customHeight="1">
      <c r="A16" s="12">
        <v>12</v>
      </c>
      <c r="B16" s="13">
        <f>'SMP Malili'!B22</f>
        <v>0</v>
      </c>
      <c r="C16" s="17">
        <f>'SMP Malili'!Y22</f>
        <v>0</v>
      </c>
      <c r="D16" s="17">
        <f>'SMP Malili'!AN22</f>
        <v>0</v>
      </c>
      <c r="E16" s="17">
        <f>'SMP Malili'!AW22</f>
        <v>0</v>
      </c>
      <c r="F16" s="19">
        <f>'SMP Malili'!AY22</f>
        <v>0</v>
      </c>
    </row>
    <row r="17" spans="1:6">
      <c r="A17" s="286" t="s">
        <v>32</v>
      </c>
      <c r="B17" s="286"/>
      <c r="C17" s="286"/>
      <c r="D17" s="286"/>
      <c r="E17" s="286"/>
      <c r="F17" s="18">
        <f>SUM(F5:F16)</f>
        <v>22158000</v>
      </c>
    </row>
  </sheetData>
  <mergeCells count="4">
    <mergeCell ref="A1:F1"/>
    <mergeCell ref="A2:F2"/>
    <mergeCell ref="A3:F3"/>
    <mergeCell ref="A17:E17"/>
  </mergeCells>
  <pageMargins left="0.7" right="0.7" top="0.75" bottom="0.75" header="0.3" footer="0.3"/>
  <pageSetup paperSize="1000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A9A61-7B27-4A46-8DE9-BC3DF3D5E83D}">
  <sheetPr>
    <tabColor rgb="FF92D050"/>
  </sheetPr>
  <dimension ref="A1:AH85"/>
  <sheetViews>
    <sheetView showGridLines="0" zoomScale="67" zoomScaleNormal="56" workbookViewId="0">
      <pane xSplit="2" ySplit="7" topLeftCell="C8" activePane="bottomRight" state="frozen"/>
      <selection pane="topRight"/>
      <selection pane="bottomLeft"/>
      <selection pane="bottomRight" activeCell="R9" sqref="R9"/>
    </sheetView>
  </sheetViews>
  <sheetFormatPr defaultColWidth="9.1796875" defaultRowHeight="11.5"/>
  <cols>
    <col min="1" max="1" width="4.453125" style="126" customWidth="1"/>
    <col min="2" max="2" width="29.7265625" style="126" customWidth="1"/>
    <col min="3" max="3" width="11.54296875" style="126" customWidth="1"/>
    <col min="4" max="4" width="21.54296875" style="127" bestFit="1" customWidth="1"/>
    <col min="5" max="5" width="13.26953125" style="127" bestFit="1" customWidth="1"/>
    <col min="6" max="6" width="21" style="127" bestFit="1" customWidth="1"/>
    <col min="7" max="7" width="20.54296875" style="126" customWidth="1"/>
    <col min="8" max="8" width="17.7265625" style="126" customWidth="1"/>
    <col min="9" max="9" width="14.7265625" style="126" bestFit="1" customWidth="1"/>
    <col min="10" max="10" width="19.453125" style="128" customWidth="1"/>
    <col min="11" max="11" width="23.54296875" style="126" customWidth="1"/>
    <col min="12" max="12" width="19.26953125" style="128" customWidth="1"/>
    <col min="13" max="13" width="20" style="128" bestFit="1" customWidth="1"/>
    <col min="14" max="14" width="21" style="128" bestFit="1" customWidth="1"/>
    <col min="15" max="15" width="25" style="126" customWidth="1"/>
    <col min="16" max="17" width="25.453125" style="128" customWidth="1"/>
    <col min="18" max="18" width="15" style="128" customWidth="1"/>
    <col min="19" max="19" width="22.7265625" style="126" customWidth="1"/>
    <col min="20" max="20" width="16.1796875" style="126" customWidth="1"/>
    <col min="21" max="24" width="15.26953125" style="126" customWidth="1"/>
    <col min="25" max="25" width="26.453125" style="126" customWidth="1"/>
    <col min="26" max="26" width="26.1796875" style="126" customWidth="1"/>
    <col min="27" max="27" width="21.453125" style="128" customWidth="1"/>
    <col min="28" max="29" width="21.453125" style="126" customWidth="1"/>
    <col min="30" max="30" width="29.81640625" style="126" customWidth="1"/>
    <col min="31" max="31" width="27" style="126" customWidth="1"/>
    <col min="32" max="32" width="24.7265625" style="126" customWidth="1"/>
    <col min="33" max="33" width="22.1796875" style="126" customWidth="1"/>
    <col min="34" max="34" width="29.26953125" style="126" customWidth="1"/>
    <col min="35" max="35" width="9.1796875" style="126"/>
    <col min="36" max="111" width="4.7265625" style="126" customWidth="1"/>
    <col min="112" max="16384" width="9.1796875" style="126"/>
  </cols>
  <sheetData>
    <row r="1" spans="1:34" s="120" customFormat="1" ht="18">
      <c r="A1" s="116" t="s">
        <v>90</v>
      </c>
      <c r="B1" s="117"/>
      <c r="C1" s="117"/>
      <c r="D1" s="118"/>
      <c r="E1" s="118"/>
      <c r="F1" s="118"/>
      <c r="G1" s="119"/>
      <c r="H1" s="119"/>
      <c r="I1" s="119"/>
      <c r="J1" s="117"/>
      <c r="L1" s="121"/>
      <c r="M1" s="121"/>
      <c r="N1" s="121"/>
      <c r="P1" s="121"/>
      <c r="Q1" s="121"/>
      <c r="R1" s="121"/>
      <c r="AA1" s="121"/>
    </row>
    <row r="2" spans="1:34" s="120" customFormat="1" ht="18">
      <c r="A2" s="122" t="s">
        <v>91</v>
      </c>
      <c r="B2" s="117"/>
      <c r="C2" s="117"/>
      <c r="D2" s="118"/>
      <c r="E2" s="118"/>
      <c r="F2" s="118"/>
      <c r="G2" s="119"/>
      <c r="H2" s="119"/>
      <c r="I2" s="119"/>
      <c r="J2" s="117"/>
      <c r="L2" s="121"/>
      <c r="M2" s="121"/>
      <c r="N2" s="121"/>
      <c r="P2" s="121"/>
      <c r="Q2" s="121"/>
      <c r="R2" s="121"/>
      <c r="AA2" s="121"/>
    </row>
    <row r="3" spans="1:34" s="120" customFormat="1" ht="18">
      <c r="A3" s="122" t="s">
        <v>338</v>
      </c>
      <c r="B3" s="117"/>
      <c r="C3" s="117"/>
      <c r="D3" s="118"/>
      <c r="E3" s="118"/>
      <c r="F3" s="118"/>
      <c r="G3" s="119"/>
      <c r="H3" s="119"/>
      <c r="I3" s="119"/>
      <c r="J3" s="117"/>
      <c r="L3" s="121"/>
      <c r="M3" s="121"/>
      <c r="N3" s="121"/>
      <c r="P3" s="121"/>
      <c r="Q3" s="121"/>
      <c r="R3" s="121"/>
      <c r="AA3" s="121"/>
    </row>
    <row r="4" spans="1:34" s="120" customFormat="1" ht="18">
      <c r="A4" s="123" t="s">
        <v>88</v>
      </c>
      <c r="B4" s="124"/>
      <c r="C4" s="124"/>
      <c r="D4" s="125"/>
      <c r="E4" s="125"/>
      <c r="F4" s="125"/>
      <c r="G4" s="124"/>
      <c r="H4" s="124"/>
      <c r="I4" s="124"/>
      <c r="J4" s="121"/>
      <c r="L4" s="121"/>
      <c r="M4" s="121"/>
      <c r="N4" s="121"/>
      <c r="P4" s="121"/>
      <c r="Q4" s="121"/>
      <c r="R4" s="121"/>
      <c r="AA4" s="121"/>
    </row>
    <row r="5" spans="1:34" ht="16" thickBot="1">
      <c r="A5" s="123"/>
    </row>
    <row r="6" spans="1:34" ht="20.25" customHeight="1" thickTop="1" thickBot="1">
      <c r="A6" s="184" t="s">
        <v>31</v>
      </c>
      <c r="B6" s="184" t="s">
        <v>38</v>
      </c>
      <c r="C6" s="184" t="s">
        <v>94</v>
      </c>
      <c r="D6" s="185" t="s">
        <v>95</v>
      </c>
      <c r="E6" s="185" t="s">
        <v>96</v>
      </c>
      <c r="F6" s="185" t="s">
        <v>97</v>
      </c>
      <c r="G6" s="184" t="s">
        <v>98</v>
      </c>
      <c r="H6" s="184" t="s">
        <v>99</v>
      </c>
      <c r="I6" s="184" t="s">
        <v>100</v>
      </c>
      <c r="J6" s="184" t="s">
        <v>101</v>
      </c>
      <c r="K6" s="184" t="s">
        <v>102</v>
      </c>
      <c r="L6" s="184" t="s">
        <v>103</v>
      </c>
      <c r="M6" s="184" t="s">
        <v>104</v>
      </c>
      <c r="N6" s="184" t="s">
        <v>105</v>
      </c>
      <c r="O6" s="184" t="s">
        <v>106</v>
      </c>
      <c r="P6" s="184" t="s">
        <v>107</v>
      </c>
      <c r="Q6" s="184" t="s">
        <v>108</v>
      </c>
      <c r="R6" s="184" t="s">
        <v>109</v>
      </c>
      <c r="S6" s="184" t="s">
        <v>110</v>
      </c>
      <c r="T6" s="184" t="s">
        <v>111</v>
      </c>
      <c r="U6" s="184" t="s">
        <v>112</v>
      </c>
      <c r="V6" s="184" t="s">
        <v>113</v>
      </c>
      <c r="W6" s="184" t="s">
        <v>114</v>
      </c>
      <c r="X6" s="186" t="s">
        <v>115</v>
      </c>
      <c r="Y6" s="184" t="s">
        <v>116</v>
      </c>
      <c r="Z6" s="184"/>
      <c r="AA6" s="184" t="s">
        <v>117</v>
      </c>
      <c r="AB6" s="184" t="s">
        <v>118</v>
      </c>
      <c r="AC6" s="184" t="s">
        <v>119</v>
      </c>
      <c r="AD6" s="184" t="s">
        <v>120</v>
      </c>
      <c r="AE6" s="184" t="s">
        <v>121</v>
      </c>
      <c r="AF6" s="184" t="s">
        <v>122</v>
      </c>
      <c r="AG6" s="186" t="s">
        <v>123</v>
      </c>
      <c r="AH6" s="184" t="s">
        <v>124</v>
      </c>
    </row>
    <row r="7" spans="1:34" ht="27.75" customHeight="1" thickTop="1" thickBot="1">
      <c r="A7" s="184"/>
      <c r="B7" s="184"/>
      <c r="C7" s="184"/>
      <c r="D7" s="185"/>
      <c r="E7" s="185"/>
      <c r="F7" s="185"/>
      <c r="G7" s="184"/>
      <c r="H7" s="184"/>
      <c r="I7" s="184"/>
      <c r="J7" s="184"/>
      <c r="K7" s="184"/>
      <c r="L7" s="184"/>
      <c r="M7" s="184"/>
      <c r="N7" s="184"/>
      <c r="O7" s="184"/>
      <c r="P7" s="186"/>
      <c r="Q7" s="184"/>
      <c r="R7" s="184"/>
      <c r="S7" s="184"/>
      <c r="T7" s="184"/>
      <c r="U7" s="184"/>
      <c r="V7" s="184"/>
      <c r="W7" s="184"/>
      <c r="X7" s="187"/>
      <c r="Y7" s="129" t="s">
        <v>125</v>
      </c>
      <c r="Z7" s="129" t="s">
        <v>126</v>
      </c>
      <c r="AA7" s="184"/>
      <c r="AB7" s="184"/>
      <c r="AC7" s="184"/>
      <c r="AD7" s="184"/>
      <c r="AE7" s="184"/>
      <c r="AF7" s="184"/>
      <c r="AG7" s="187"/>
      <c r="AH7" s="184"/>
    </row>
    <row r="8" spans="1:34" ht="30.65" customHeight="1" thickTop="1">
      <c r="A8" s="130">
        <v>1</v>
      </c>
      <c r="B8" s="131" t="s">
        <v>339</v>
      </c>
      <c r="C8" s="132" t="s">
        <v>128</v>
      </c>
      <c r="D8" s="133">
        <v>44743</v>
      </c>
      <c r="E8" s="134">
        <f t="shared" ref="E8:E10" ca="1" si="0">TODAY()</f>
        <v>46244</v>
      </c>
      <c r="F8" s="134" t="str">
        <f ca="1">DATEDIF(D8,E8,"y")&amp;" "&amp;"Tahun"&amp;" "&amp;DATEDIF(D8,E8,"ym")&amp;" "&amp;"Bulan"&amp;" "&amp;DATEDIF(D8,E8,"md")&amp;" "&amp;"Hari"</f>
        <v>4 Tahun 1 Bulan 9 Hari</v>
      </c>
      <c r="G8" s="132" t="s">
        <v>129</v>
      </c>
      <c r="H8" s="132"/>
      <c r="I8" s="132"/>
      <c r="J8" s="135" t="s">
        <v>279</v>
      </c>
      <c r="K8" s="135" t="s">
        <v>280</v>
      </c>
      <c r="L8" s="132" t="s">
        <v>154</v>
      </c>
      <c r="M8" s="136">
        <v>36209</v>
      </c>
      <c r="N8" s="134" t="str">
        <f ca="1">DATEDIF(M8,E8,"y")&amp;" "&amp;"Tahun"&amp;" "&amp;DATEDIF(M8,E8,"ym")&amp;" "&amp;"Bulan"&amp;" "&amp;DATEDIF(M8,E8,"md")&amp;" "&amp;"Hari"</f>
        <v>27 Tahun 5 Bulan 23 Hari</v>
      </c>
      <c r="O8" s="137"/>
      <c r="P8" s="132">
        <v>0</v>
      </c>
      <c r="Q8" s="132"/>
      <c r="R8" s="138" t="s">
        <v>133</v>
      </c>
      <c r="S8" s="132"/>
      <c r="T8" s="139" t="s">
        <v>135</v>
      </c>
      <c r="U8" s="139"/>
      <c r="V8" s="132" t="s">
        <v>137</v>
      </c>
      <c r="W8" s="132">
        <v>0</v>
      </c>
      <c r="X8" s="132">
        <v>3</v>
      </c>
      <c r="Y8" s="132"/>
      <c r="Z8" s="132"/>
      <c r="AA8" s="132"/>
      <c r="AB8" s="132">
        <v>0</v>
      </c>
      <c r="AC8" s="132">
        <v>0</v>
      </c>
      <c r="AD8" s="132">
        <v>0</v>
      </c>
      <c r="AE8" s="132">
        <v>0</v>
      </c>
      <c r="AF8" s="132">
        <v>0</v>
      </c>
      <c r="AG8" s="132">
        <v>0</v>
      </c>
      <c r="AH8" s="140"/>
    </row>
    <row r="9" spans="1:34" ht="30.65" customHeight="1">
      <c r="A9" s="141">
        <v>2</v>
      </c>
      <c r="B9" s="142" t="s">
        <v>340</v>
      </c>
      <c r="C9" s="132" t="s">
        <v>128</v>
      </c>
      <c r="D9" s="133">
        <v>44743</v>
      </c>
      <c r="E9" s="134">
        <f t="shared" ca="1" si="0"/>
        <v>46244</v>
      </c>
      <c r="F9" s="134" t="str">
        <f t="shared" ref="F9:F10" ca="1" si="1">DATEDIF(D9,E9,"y")&amp;" "&amp;"Tahun"&amp;" "&amp;DATEDIF(D9,E9,"ym")&amp;" "&amp;"Bulan"&amp;" "&amp;DATEDIF(D9,E9,"md")&amp;" "&amp;"Hari"</f>
        <v>4 Tahun 1 Bulan 9 Hari</v>
      </c>
      <c r="G9" s="132" t="s">
        <v>129</v>
      </c>
      <c r="H9" s="132"/>
      <c r="I9" s="132"/>
      <c r="J9" s="135" t="s">
        <v>283</v>
      </c>
      <c r="K9" s="135" t="s">
        <v>284</v>
      </c>
      <c r="L9" s="132" t="s">
        <v>285</v>
      </c>
      <c r="M9" s="143">
        <v>35753</v>
      </c>
      <c r="N9" s="134" t="str">
        <f ca="1">DATEDIF(M9,E9,"y")&amp;" "&amp;"Tahun"&amp;" "&amp;DATEDIF(M9,E9,"ym")&amp;" "&amp;"Bulan"&amp;" "&amp;DATEDIF(M9,E9,"md")&amp;" "&amp;"Hari"</f>
        <v>28 Tahun 8 Bulan 22 Hari</v>
      </c>
      <c r="O9" s="137"/>
      <c r="P9" s="132">
        <v>0</v>
      </c>
      <c r="Q9" s="132"/>
      <c r="R9" s="138" t="s">
        <v>133</v>
      </c>
      <c r="S9" s="132"/>
      <c r="T9" s="139" t="s">
        <v>135</v>
      </c>
      <c r="U9" s="139"/>
      <c r="V9" s="132">
        <v>0</v>
      </c>
      <c r="W9" s="132">
        <v>0</v>
      </c>
      <c r="X9" s="132">
        <v>0</v>
      </c>
      <c r="Y9" s="132"/>
      <c r="Z9" s="132">
        <v>0</v>
      </c>
      <c r="AA9" s="132"/>
      <c r="AB9" s="132">
        <v>0</v>
      </c>
      <c r="AC9" s="132">
        <v>0</v>
      </c>
      <c r="AD9" s="132">
        <v>0</v>
      </c>
      <c r="AE9" s="132">
        <v>0</v>
      </c>
      <c r="AF9" s="132">
        <v>0</v>
      </c>
      <c r="AG9" s="132">
        <v>0</v>
      </c>
      <c r="AH9" s="140"/>
    </row>
    <row r="10" spans="1:34" ht="30.65" customHeight="1">
      <c r="A10" s="130">
        <v>3</v>
      </c>
      <c r="B10" s="142" t="s">
        <v>334</v>
      </c>
      <c r="C10" s="132" t="s">
        <v>128</v>
      </c>
      <c r="D10" s="133">
        <v>44743</v>
      </c>
      <c r="E10" s="134">
        <f t="shared" ca="1" si="0"/>
        <v>46244</v>
      </c>
      <c r="F10" s="134" t="str">
        <f t="shared" ca="1" si="1"/>
        <v>4 Tahun 1 Bulan 9 Hari</v>
      </c>
      <c r="G10" s="132" t="s">
        <v>129</v>
      </c>
      <c r="H10" s="132"/>
      <c r="I10" s="132"/>
      <c r="J10" s="135" t="s">
        <v>216</v>
      </c>
      <c r="K10" s="135" t="s">
        <v>287</v>
      </c>
      <c r="L10" s="132" t="s">
        <v>288</v>
      </c>
      <c r="M10" s="143">
        <v>33959</v>
      </c>
      <c r="N10" s="134" t="str">
        <f t="shared" ref="N10" ca="1" si="2">DATEDIF(M10,E10,"y")&amp;" "&amp;"Tahun"&amp;" "&amp;DATEDIF(M10,E10,"ym")&amp;" "&amp;"Bulan"&amp;" "&amp;DATEDIF(M10,E10,"md")&amp;" "&amp;"Hari"</f>
        <v>33 Tahun 7 Bulan 20 Hari</v>
      </c>
      <c r="O10" s="137"/>
      <c r="P10" s="132">
        <v>0</v>
      </c>
      <c r="Q10" s="132"/>
      <c r="R10" s="138" t="s">
        <v>155</v>
      </c>
      <c r="S10" s="132"/>
      <c r="T10" s="139" t="s">
        <v>135</v>
      </c>
      <c r="U10" s="139"/>
      <c r="V10" s="132">
        <v>0</v>
      </c>
      <c r="W10" s="132">
        <v>0</v>
      </c>
      <c r="X10" s="132">
        <v>4</v>
      </c>
      <c r="Y10" s="132"/>
      <c r="Z10" s="132">
        <v>0</v>
      </c>
      <c r="AA10" s="132"/>
      <c r="AB10" s="132">
        <v>0</v>
      </c>
      <c r="AC10" s="132">
        <v>0</v>
      </c>
      <c r="AD10" s="132">
        <v>0</v>
      </c>
      <c r="AE10" s="132">
        <v>0</v>
      </c>
      <c r="AF10" s="132">
        <v>0</v>
      </c>
      <c r="AG10" s="132">
        <v>0</v>
      </c>
      <c r="AH10" s="140"/>
    </row>
    <row r="11" spans="1:34" ht="20.149999999999999" customHeight="1"/>
    <row r="12" spans="1:34" ht="20.149999999999999" customHeight="1"/>
    <row r="13" spans="1:34" ht="20.149999999999999" customHeight="1"/>
    <row r="14" spans="1:34" ht="20.149999999999999" customHeight="1"/>
    <row r="15" spans="1:34" ht="20.149999999999999" customHeight="1"/>
    <row r="16" spans="1:34" ht="20.149999999999999" customHeight="1"/>
    <row r="17" ht="20.149999999999999" customHeight="1"/>
    <row r="18" ht="20.149999999999999" customHeight="1"/>
    <row r="19" ht="20.149999999999999" customHeight="1"/>
    <row r="20" ht="20.149999999999999" customHeight="1"/>
    <row r="21" ht="20.149999999999999" customHeight="1"/>
    <row r="22" ht="20.149999999999999" customHeight="1"/>
    <row r="23" ht="20.149999999999999" customHeight="1"/>
    <row r="24" ht="20.149999999999999" customHeight="1"/>
    <row r="25" ht="20.149999999999999" customHeight="1"/>
    <row r="26" ht="20.149999999999999" customHeight="1"/>
    <row r="27" ht="20.149999999999999" customHeight="1"/>
    <row r="28" ht="20.149999999999999" customHeight="1"/>
    <row r="29" ht="20.149999999999999" customHeight="1"/>
    <row r="30" ht="20.149999999999999" customHeight="1"/>
    <row r="31" ht="20.149999999999999" customHeight="1"/>
    <row r="32" ht="20.149999999999999" customHeight="1"/>
    <row r="33" ht="20.149999999999999" customHeight="1"/>
    <row r="34" ht="20.149999999999999" customHeight="1"/>
    <row r="35" ht="20.149999999999999" customHeight="1"/>
    <row r="36" ht="20.149999999999999" customHeight="1"/>
    <row r="37" ht="20.149999999999999" customHeight="1"/>
    <row r="38" ht="20.149999999999999" customHeight="1"/>
    <row r="39" ht="20.149999999999999" customHeight="1"/>
    <row r="40" ht="20.149999999999999" customHeight="1"/>
    <row r="41" ht="20.149999999999999" customHeight="1"/>
    <row r="42" ht="20.149999999999999" customHeight="1"/>
    <row r="43" ht="20.149999999999999" customHeight="1"/>
    <row r="44" ht="20.149999999999999" customHeight="1"/>
    <row r="45" ht="20.149999999999999" customHeight="1"/>
    <row r="46" ht="20.149999999999999" customHeight="1"/>
    <row r="47" ht="20.149999999999999" customHeight="1"/>
    <row r="48" ht="20.149999999999999" customHeight="1"/>
    <row r="49" ht="20.149999999999999" customHeight="1"/>
    <row r="50" ht="20.149999999999999" customHeight="1"/>
    <row r="51" ht="20.149999999999999" customHeight="1"/>
    <row r="52" ht="20.149999999999999" customHeight="1"/>
    <row r="53" ht="20.149999999999999" customHeight="1"/>
    <row r="54" ht="20.149999999999999" customHeight="1"/>
    <row r="55" ht="20.149999999999999" customHeight="1"/>
    <row r="56" ht="20.149999999999999" customHeight="1"/>
    <row r="57" ht="20.149999999999999" customHeight="1"/>
    <row r="58" ht="20.149999999999999" customHeight="1"/>
    <row r="59" ht="20.149999999999999" customHeight="1"/>
    <row r="60" ht="20.149999999999999" customHeight="1"/>
    <row r="61" ht="20.149999999999999" customHeight="1"/>
    <row r="62" ht="20.149999999999999" customHeight="1"/>
    <row r="63" ht="20.149999999999999" customHeight="1"/>
    <row r="64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  <row r="70" ht="20.149999999999999" customHeight="1"/>
    <row r="71" ht="20.149999999999999" customHeight="1"/>
    <row r="72" ht="20.149999999999999" customHeight="1"/>
    <row r="73" ht="20.149999999999999" customHeight="1"/>
    <row r="74" ht="20.149999999999999" customHeight="1"/>
    <row r="75" ht="20.149999999999999" customHeight="1"/>
    <row r="76" ht="20.149999999999999" customHeight="1"/>
    <row r="77" ht="20.149999999999999" customHeight="1"/>
    <row r="78" ht="20.149999999999999" customHeight="1"/>
    <row r="79" ht="20.149999999999999" customHeight="1"/>
    <row r="80" ht="20.149999999999999" customHeight="1"/>
    <row r="81" ht="20.149999999999999" customHeight="1"/>
    <row r="82" ht="20.149999999999999" customHeight="1"/>
    <row r="83" ht="20.149999999999999" customHeight="1"/>
    <row r="84" ht="20.149999999999999" customHeight="1"/>
    <row r="85" ht="20.149999999999999" customHeight="1"/>
  </sheetData>
  <autoFilter ref="A6:AH10" xr:uid="{00000000-0009-0000-0000-000000000000}">
    <sortState xmlns:xlrd2="http://schemas.microsoft.com/office/spreadsheetml/2017/richdata2" ref="A6:AH10">
      <sortCondition ref="D6:D10"/>
    </sortState>
  </autoFilter>
  <mergeCells count="33">
    <mergeCell ref="AF6:AF7"/>
    <mergeCell ref="AG6:AG7"/>
    <mergeCell ref="AH6:AH7"/>
    <mergeCell ref="Y6:Z6"/>
    <mergeCell ref="AA6:AA7"/>
    <mergeCell ref="AB6:AB7"/>
    <mergeCell ref="AC6:AC7"/>
    <mergeCell ref="AD6:AD7"/>
    <mergeCell ref="AE6:AE7"/>
    <mergeCell ref="X6:X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L6:L7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</mergeCells>
  <pageMargins left="0.7" right="0.7" top="0.75" bottom="0.75" header="0.3" footer="0.3"/>
  <pageSetup paperSize="9" orientation="portrait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95BAD-2371-41C1-8C79-8381950D99CC}">
  <dimension ref="A1:AY40"/>
  <sheetViews>
    <sheetView view="pageBreakPreview" zoomScale="89" zoomScaleNormal="100" zoomScaleSheetLayoutView="89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A12" sqref="AA12"/>
    </sheetView>
  </sheetViews>
  <sheetFormatPr defaultColWidth="9.1796875" defaultRowHeight="14"/>
  <cols>
    <col min="1" max="1" width="3.81640625" style="58" customWidth="1"/>
    <col min="2" max="2" width="33.1796875" style="58" customWidth="1"/>
    <col min="3" max="3" width="21.26953125" style="58" customWidth="1"/>
    <col min="4" max="4" width="5.81640625" style="58" customWidth="1"/>
    <col min="5" max="13" width="5" style="58" customWidth="1"/>
    <col min="14" max="14" width="12" style="58" customWidth="1"/>
    <col min="15" max="17" width="5" style="58" customWidth="1"/>
    <col min="18" max="18" width="23" style="58" customWidth="1"/>
    <col min="19" max="19" width="5" style="58" customWidth="1"/>
    <col min="20" max="20" width="10.26953125" style="58" customWidth="1"/>
    <col min="21" max="42" width="18.453125" style="58" customWidth="1"/>
    <col min="43" max="43" width="14" style="58" customWidth="1"/>
    <col min="44" max="44" width="10.54296875" style="58" customWidth="1"/>
    <col min="45" max="45" width="14.7265625" style="58" customWidth="1"/>
    <col min="46" max="46" width="12.54296875" style="58" customWidth="1"/>
    <col min="47" max="47" width="10.54296875" style="58" customWidth="1"/>
    <col min="48" max="48" width="8.453125" style="58" customWidth="1"/>
    <col min="49" max="49" width="12.7265625" style="58" customWidth="1"/>
    <col min="50" max="50" width="26.1796875" style="58" customWidth="1"/>
    <col min="51" max="51" width="17" style="7" customWidth="1"/>
    <col min="52" max="16384" width="9.1796875" style="7"/>
  </cols>
  <sheetData>
    <row r="1" spans="1:51" s="6" customFormat="1" ht="20">
      <c r="A1" s="6" t="s">
        <v>417</v>
      </c>
    </row>
    <row r="2" spans="1:51" ht="18">
      <c r="A2" s="74" t="s">
        <v>88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</row>
    <row r="3" spans="1:51" ht="18">
      <c r="A3" s="74"/>
      <c r="B3" s="7" t="s">
        <v>269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7">
        <f>AB16/3</f>
        <v>0</v>
      </c>
      <c r="AH3" s="7"/>
      <c r="AI3" s="7"/>
      <c r="AJ3" s="7"/>
      <c r="AK3" s="7"/>
      <c r="AL3" s="40">
        <v>125000</v>
      </c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1" ht="18">
      <c r="A4" s="74"/>
      <c r="B4" s="7" t="s">
        <v>412</v>
      </c>
      <c r="C4" s="7"/>
      <c r="D4" s="7"/>
      <c r="E4" s="7"/>
      <c r="F4" s="7"/>
      <c r="G4" s="7"/>
      <c r="H4" s="7"/>
      <c r="I4" s="7"/>
      <c r="J4" s="7"/>
      <c r="K4" s="7"/>
      <c r="L4" s="75" t="s">
        <v>84</v>
      </c>
      <c r="M4" s="75"/>
      <c r="N4" s="75"/>
      <c r="O4" s="75"/>
      <c r="P4" s="75"/>
      <c r="Q4" s="75"/>
      <c r="R4" s="75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</row>
    <row r="5" spans="1:51" ht="18">
      <c r="A5" s="74"/>
      <c r="B5" s="107">
        <f ca="1">TODAY()</f>
        <v>46244</v>
      </c>
      <c r="C5" s="107"/>
      <c r="D5" s="107"/>
      <c r="E5" s="7"/>
      <c r="F5" s="7"/>
      <c r="G5" s="7"/>
      <c r="H5" s="7"/>
      <c r="I5" s="7"/>
      <c r="J5" s="7"/>
      <c r="K5" s="7"/>
      <c r="L5" s="76" t="s">
        <v>83</v>
      </c>
      <c r="M5" s="76"/>
      <c r="N5" s="76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1" s="1" customFormat="1" ht="10.5">
      <c r="A6" s="71" t="s">
        <v>0</v>
      </c>
      <c r="B6" s="71"/>
      <c r="C6" s="112"/>
      <c r="D6" s="112"/>
    </row>
    <row r="7" spans="1:51" s="1" customFormat="1" ht="10.5">
      <c r="A7" s="59">
        <v>1</v>
      </c>
      <c r="B7" s="59">
        <v>2</v>
      </c>
      <c r="C7" s="59">
        <v>3</v>
      </c>
      <c r="D7" s="59">
        <v>4</v>
      </c>
      <c r="E7" s="59">
        <v>5</v>
      </c>
      <c r="F7" s="59">
        <v>6</v>
      </c>
      <c r="G7" s="59">
        <v>7</v>
      </c>
      <c r="H7" s="59">
        <v>8</v>
      </c>
      <c r="I7" s="59">
        <v>9</v>
      </c>
      <c r="J7" s="59">
        <v>10</v>
      </c>
      <c r="K7" s="59">
        <v>11</v>
      </c>
      <c r="L7" s="59">
        <v>12</v>
      </c>
      <c r="M7" s="59">
        <v>13</v>
      </c>
      <c r="N7" s="59">
        <v>14</v>
      </c>
      <c r="O7" s="59">
        <v>15</v>
      </c>
      <c r="P7" s="59">
        <v>16</v>
      </c>
      <c r="Q7" s="59">
        <v>17</v>
      </c>
      <c r="R7" s="59">
        <v>18</v>
      </c>
      <c r="S7" s="59">
        <v>19</v>
      </c>
      <c r="T7" s="59">
        <v>20</v>
      </c>
      <c r="U7" s="59">
        <v>21</v>
      </c>
      <c r="V7" s="59">
        <v>22</v>
      </c>
      <c r="W7" s="59">
        <v>23</v>
      </c>
      <c r="X7" s="59">
        <v>24</v>
      </c>
      <c r="Y7" s="59">
        <v>25</v>
      </c>
      <c r="Z7" s="59">
        <v>26</v>
      </c>
      <c r="AA7" s="59">
        <v>27</v>
      </c>
      <c r="AB7" s="59">
        <v>28</v>
      </c>
      <c r="AC7" s="59">
        <v>29</v>
      </c>
      <c r="AD7" s="59">
        <v>30</v>
      </c>
      <c r="AE7" s="59">
        <v>31</v>
      </c>
      <c r="AF7" s="59">
        <v>32</v>
      </c>
      <c r="AG7" s="59">
        <v>33</v>
      </c>
      <c r="AH7" s="59">
        <v>34</v>
      </c>
      <c r="AI7" s="59">
        <v>35</v>
      </c>
      <c r="AJ7" s="59">
        <v>36</v>
      </c>
      <c r="AK7" s="59">
        <v>37</v>
      </c>
      <c r="AL7" s="59">
        <v>38</v>
      </c>
      <c r="AM7" s="59">
        <v>39</v>
      </c>
      <c r="AN7" s="59">
        <v>40</v>
      </c>
      <c r="AO7" s="59">
        <v>41</v>
      </c>
      <c r="AP7" s="59">
        <v>42</v>
      </c>
      <c r="AQ7" s="59">
        <v>43</v>
      </c>
      <c r="AR7" s="59">
        <v>44</v>
      </c>
      <c r="AS7" s="59">
        <v>45</v>
      </c>
      <c r="AT7" s="59">
        <v>46</v>
      </c>
      <c r="AU7" s="59">
        <v>47</v>
      </c>
      <c r="AV7" s="59">
        <v>48</v>
      </c>
      <c r="AW7" s="59">
        <v>49</v>
      </c>
      <c r="AX7" s="59">
        <v>50</v>
      </c>
      <c r="AY7" s="59">
        <v>51</v>
      </c>
    </row>
    <row r="8" spans="1:51" s="1" customFormat="1" ht="23.25" customHeight="1">
      <c r="A8" s="211" t="s">
        <v>1</v>
      </c>
      <c r="B8" s="211" t="s">
        <v>2</v>
      </c>
      <c r="C8" s="211" t="s">
        <v>101</v>
      </c>
      <c r="D8" s="208" t="s">
        <v>271</v>
      </c>
      <c r="E8" s="208" t="s">
        <v>3</v>
      </c>
      <c r="F8" s="208" t="s">
        <v>4</v>
      </c>
      <c r="G8" s="208" t="s">
        <v>5</v>
      </c>
      <c r="H8" s="226" t="s">
        <v>6</v>
      </c>
      <c r="I8" s="208" t="s">
        <v>7</v>
      </c>
      <c r="J8" s="226" t="s">
        <v>75</v>
      </c>
      <c r="K8" s="226" t="s">
        <v>8</v>
      </c>
      <c r="L8" s="226" t="s">
        <v>9</v>
      </c>
      <c r="M8" s="226" t="s">
        <v>76</v>
      </c>
      <c r="N8" s="214" t="s">
        <v>77</v>
      </c>
      <c r="O8" s="223" t="s">
        <v>372</v>
      </c>
      <c r="P8" s="223" t="s">
        <v>373</v>
      </c>
      <c r="Q8" s="217" t="s">
        <v>272</v>
      </c>
      <c r="R8" s="220" t="s">
        <v>70</v>
      </c>
      <c r="S8" s="223" t="s">
        <v>270</v>
      </c>
      <c r="T8" s="223" t="s">
        <v>275</v>
      </c>
      <c r="U8" s="229" t="s">
        <v>11</v>
      </c>
      <c r="V8" s="230"/>
      <c r="W8" s="230"/>
      <c r="X8" s="231"/>
      <c r="Y8" s="211" t="s">
        <v>12</v>
      </c>
      <c r="Z8" s="232" t="s">
        <v>13</v>
      </c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3"/>
      <c r="AL8" s="233"/>
      <c r="AM8" s="233"/>
      <c r="AN8" s="234" t="s">
        <v>14</v>
      </c>
      <c r="AO8" s="250" t="s">
        <v>28</v>
      </c>
      <c r="AP8" s="253" t="s">
        <v>15</v>
      </c>
      <c r="AQ8" s="254"/>
      <c r="AR8" s="255"/>
      <c r="AS8" s="5"/>
      <c r="AT8" s="5"/>
      <c r="AU8" s="5"/>
      <c r="AV8" s="5"/>
      <c r="AW8" s="256" t="s">
        <v>16</v>
      </c>
      <c r="AX8" s="259" t="s">
        <v>17</v>
      </c>
      <c r="AY8" s="259" t="s">
        <v>29</v>
      </c>
    </row>
    <row r="9" spans="1:51" s="1" customFormat="1" ht="23.25" customHeight="1">
      <c r="A9" s="212"/>
      <c r="B9" s="212"/>
      <c r="C9" s="212"/>
      <c r="D9" s="209"/>
      <c r="E9" s="209"/>
      <c r="F9" s="209"/>
      <c r="G9" s="209"/>
      <c r="H9" s="227"/>
      <c r="I9" s="209"/>
      <c r="J9" s="227"/>
      <c r="K9" s="227"/>
      <c r="L9" s="227"/>
      <c r="M9" s="227"/>
      <c r="N9" s="215"/>
      <c r="O9" s="224"/>
      <c r="P9" s="224"/>
      <c r="Q9" s="218"/>
      <c r="R9" s="221"/>
      <c r="S9" s="224"/>
      <c r="T9" s="224"/>
      <c r="U9" s="244" t="s">
        <v>30</v>
      </c>
      <c r="V9" s="229" t="s">
        <v>18</v>
      </c>
      <c r="W9" s="230"/>
      <c r="X9" s="231"/>
      <c r="Y9" s="212"/>
      <c r="Z9" s="237" t="s">
        <v>19</v>
      </c>
      <c r="AA9" s="237" t="s">
        <v>33</v>
      </c>
      <c r="AB9" s="239" t="s">
        <v>20</v>
      </c>
      <c r="AC9" s="240"/>
      <c r="AD9" s="240"/>
      <c r="AE9" s="241"/>
      <c r="AF9" s="242" t="s">
        <v>86</v>
      </c>
      <c r="AG9" s="237" t="s">
        <v>397</v>
      </c>
      <c r="AH9" s="237" t="s">
        <v>21</v>
      </c>
      <c r="AI9" s="237" t="s">
        <v>22</v>
      </c>
      <c r="AJ9" s="237" t="s">
        <v>23</v>
      </c>
      <c r="AK9" s="237" t="s">
        <v>276</v>
      </c>
      <c r="AL9" s="237" t="s">
        <v>24</v>
      </c>
      <c r="AM9" s="237" t="s">
        <v>79</v>
      </c>
      <c r="AN9" s="235"/>
      <c r="AO9" s="251"/>
      <c r="AP9" s="246" t="s">
        <v>413</v>
      </c>
      <c r="AQ9" s="248" t="s">
        <v>414</v>
      </c>
      <c r="AR9" s="246" t="s">
        <v>10</v>
      </c>
      <c r="AS9" s="246" t="s">
        <v>71</v>
      </c>
      <c r="AT9" s="246" t="s">
        <v>69</v>
      </c>
      <c r="AU9" s="246" t="s">
        <v>34</v>
      </c>
      <c r="AV9" s="246" t="s">
        <v>81</v>
      </c>
      <c r="AW9" s="257"/>
      <c r="AX9" s="260"/>
      <c r="AY9" s="260"/>
    </row>
    <row r="10" spans="1:51" s="1" customFormat="1" ht="23.25" customHeight="1">
      <c r="A10" s="213"/>
      <c r="B10" s="213"/>
      <c r="C10" s="213"/>
      <c r="D10" s="210"/>
      <c r="E10" s="210"/>
      <c r="F10" s="210"/>
      <c r="G10" s="210"/>
      <c r="H10" s="228"/>
      <c r="I10" s="210"/>
      <c r="J10" s="228"/>
      <c r="K10" s="228"/>
      <c r="L10" s="228"/>
      <c r="M10" s="228"/>
      <c r="N10" s="216"/>
      <c r="O10" s="225"/>
      <c r="P10" s="225"/>
      <c r="Q10" s="219"/>
      <c r="R10" s="222"/>
      <c r="S10" s="225"/>
      <c r="T10" s="224"/>
      <c r="U10" s="245"/>
      <c r="V10" s="4" t="s">
        <v>25</v>
      </c>
      <c r="W10" s="2" t="s">
        <v>26</v>
      </c>
      <c r="X10" s="3" t="s">
        <v>27</v>
      </c>
      <c r="Y10" s="213"/>
      <c r="Z10" s="238"/>
      <c r="AA10" s="238"/>
      <c r="AB10" s="57">
        <v>1</v>
      </c>
      <c r="AC10" s="57">
        <v>2</v>
      </c>
      <c r="AD10" s="57">
        <v>3</v>
      </c>
      <c r="AE10" s="57">
        <v>4</v>
      </c>
      <c r="AF10" s="243"/>
      <c r="AG10" s="238"/>
      <c r="AH10" s="238"/>
      <c r="AI10" s="238"/>
      <c r="AJ10" s="238"/>
      <c r="AK10" s="238"/>
      <c r="AL10" s="238"/>
      <c r="AM10" s="238"/>
      <c r="AN10" s="236"/>
      <c r="AO10" s="252"/>
      <c r="AP10" s="247"/>
      <c r="AQ10" s="249"/>
      <c r="AR10" s="247"/>
      <c r="AS10" s="247"/>
      <c r="AT10" s="247"/>
      <c r="AU10" s="247"/>
      <c r="AV10" s="247"/>
      <c r="AW10" s="258"/>
      <c r="AX10" s="261"/>
      <c r="AY10" s="261"/>
    </row>
    <row r="11" spans="1:51" ht="15" customHeight="1">
      <c r="A11" s="70">
        <v>1</v>
      </c>
      <c r="B11" s="111" t="str">
        <f>'Data Base SMA PPIB'!B8</f>
        <v>Irwan Jaya</v>
      </c>
      <c r="C11" s="111" t="str">
        <f>'Data Base SMA PPIB'!J8</f>
        <v>Kepsek</v>
      </c>
      <c r="D11" s="113">
        <f t="shared" ref="D11:D13" si="0">F11+I11</f>
        <v>24</v>
      </c>
      <c r="E11" s="113">
        <v>24</v>
      </c>
      <c r="F11" s="113">
        <f>E11-G11-I11</f>
        <v>24</v>
      </c>
      <c r="G11" s="113">
        <v>0</v>
      </c>
      <c r="H11" s="113">
        <f>E11-G11-I11-J11</f>
        <v>24</v>
      </c>
      <c r="I11" s="114">
        <v>0</v>
      </c>
      <c r="J11" s="113">
        <v>0</v>
      </c>
      <c r="K11" s="113">
        <f>E11-G11-L11-M11</f>
        <v>24</v>
      </c>
      <c r="L11" s="113">
        <v>0</v>
      </c>
      <c r="M11" s="113">
        <v>0</v>
      </c>
      <c r="N11" s="9">
        <v>0</v>
      </c>
      <c r="O11" s="9">
        <v>24</v>
      </c>
      <c r="P11" s="9"/>
      <c r="Q11" s="9" t="str">
        <f>'Data Base SMA PPIB'!R8</f>
        <v>S1</v>
      </c>
      <c r="R11" s="9" t="str">
        <f ca="1">'Data Base SMA PPIB'!F8</f>
        <v>4 Tahun 1 Bulan 9 Hari</v>
      </c>
      <c r="S11" s="51">
        <v>10</v>
      </c>
      <c r="T11" s="51" t="str">
        <f>'Data Base SMA PPIB'!G8</f>
        <v>PT</v>
      </c>
      <c r="U11" s="45">
        <v>950000</v>
      </c>
      <c r="V11" s="41">
        <v>50000</v>
      </c>
      <c r="W11" s="21">
        <f>'Data Base SMA PPIB'!X8</f>
        <v>3</v>
      </c>
      <c r="X11" s="40">
        <f>W11*20000</f>
        <v>60000</v>
      </c>
      <c r="Y11" s="40">
        <f>U11+V11+X11</f>
        <v>1060000</v>
      </c>
      <c r="Z11" s="41">
        <v>500000</v>
      </c>
      <c r="AA11" s="41">
        <v>150000</v>
      </c>
      <c r="AB11" s="41">
        <v>100000</v>
      </c>
      <c r="AC11" s="41"/>
      <c r="AD11" s="41"/>
      <c r="AE11" s="41"/>
      <c r="AF11" s="109">
        <f t="shared" ref="AF11:AF18" si="1">SUM(AB11:AE11)</f>
        <v>100000</v>
      </c>
      <c r="AG11" s="41">
        <f>P11*4500*7</f>
        <v>0</v>
      </c>
      <c r="AH11" s="41">
        <f>F11*6000</f>
        <v>144000</v>
      </c>
      <c r="AI11" s="40">
        <f>H11*4000</f>
        <v>96000</v>
      </c>
      <c r="AJ11" s="40">
        <f>K11*4000</f>
        <v>96000</v>
      </c>
      <c r="AK11" s="40">
        <f>O11*5000</f>
        <v>120000</v>
      </c>
      <c r="AL11" s="40">
        <v>150000</v>
      </c>
      <c r="AM11" s="40">
        <v>0</v>
      </c>
      <c r="AN11" s="40">
        <f t="shared" ref="AN11:AN18" si="2">SUM(Z11,AA11,AF11,AG11,AH11,AI11,AJ11,AK11,AL11)</f>
        <v>1356000</v>
      </c>
      <c r="AO11" s="40">
        <f t="shared" ref="AO11:AO18" si="3">Y11+AN11</f>
        <v>2416000</v>
      </c>
      <c r="AP11" s="40">
        <f>AO11*AQ11</f>
        <v>0</v>
      </c>
      <c r="AQ11" s="155"/>
      <c r="AR11" s="10">
        <f t="shared" ref="AR11:AR18" si="4">N11</f>
        <v>0</v>
      </c>
      <c r="AS11" s="40">
        <f>AQ11*AR11</f>
        <v>0</v>
      </c>
      <c r="AT11" s="40">
        <v>0</v>
      </c>
      <c r="AU11" s="40">
        <v>0</v>
      </c>
      <c r="AV11" s="40" t="s">
        <v>82</v>
      </c>
      <c r="AW11" s="42">
        <f>SUM(AP11,AS11,AT11,AU11)</f>
        <v>0</v>
      </c>
      <c r="AX11" s="43" t="str">
        <f>B11</f>
        <v>Irwan Jaya</v>
      </c>
      <c r="AY11" s="55">
        <f>AO11-AW11</f>
        <v>2416000</v>
      </c>
    </row>
    <row r="12" spans="1:51" ht="15" customHeight="1">
      <c r="A12" s="70">
        <v>2</v>
      </c>
      <c r="B12" s="111" t="str">
        <f>'Data Base SMA PPIB'!B9</f>
        <v>Siti Aminah</v>
      </c>
      <c r="C12" s="111" t="str">
        <f>'Data Base SMA PPIB'!J9</f>
        <v>Bendahara/Wali Kelas</v>
      </c>
      <c r="D12" s="113">
        <f t="shared" si="0"/>
        <v>24</v>
      </c>
      <c r="E12" s="113">
        <v>24</v>
      </c>
      <c r="F12" s="113">
        <f t="shared" ref="F12:F13" si="5">E12-G12-I12</f>
        <v>24</v>
      </c>
      <c r="G12" s="113">
        <v>0</v>
      </c>
      <c r="H12" s="113">
        <f t="shared" ref="H12:H13" si="6">E12-G12-I12-J12</f>
        <v>24</v>
      </c>
      <c r="I12" s="114">
        <v>0</v>
      </c>
      <c r="J12" s="113">
        <v>0</v>
      </c>
      <c r="K12" s="113">
        <f t="shared" ref="K12:K13" si="7">E12-G12-L12-M12</f>
        <v>24</v>
      </c>
      <c r="L12" s="113">
        <v>0</v>
      </c>
      <c r="M12" s="113">
        <v>0</v>
      </c>
      <c r="N12" s="9">
        <v>0</v>
      </c>
      <c r="O12" s="9"/>
      <c r="P12" s="9"/>
      <c r="Q12" s="9" t="str">
        <f>'Data Base SMA PPIB'!R9</f>
        <v>S1</v>
      </c>
      <c r="R12" s="9" t="str">
        <f ca="1">'Data Base SMA PPIB'!F9</f>
        <v>4 Tahun 1 Bulan 9 Hari</v>
      </c>
      <c r="S12" s="51">
        <v>4</v>
      </c>
      <c r="T12" s="51" t="str">
        <f>'Data Base SMA PPIB'!G9</f>
        <v>PT</v>
      </c>
      <c r="U12" s="45">
        <v>950000</v>
      </c>
      <c r="V12" s="40"/>
      <c r="W12" s="21">
        <f>'Data Base SMA PPIB'!X9</f>
        <v>0</v>
      </c>
      <c r="X12" s="40">
        <f t="shared" ref="X12:X18" si="8">W12*20000</f>
        <v>0</v>
      </c>
      <c r="Y12" s="40">
        <f>U12+V12+X12</f>
        <v>950000</v>
      </c>
      <c r="Z12" s="41">
        <v>400000</v>
      </c>
      <c r="AA12" s="41">
        <v>150000</v>
      </c>
      <c r="AB12" s="41">
        <v>100000</v>
      </c>
      <c r="AC12" s="41"/>
      <c r="AD12" s="41"/>
      <c r="AE12" s="41"/>
      <c r="AF12" s="109">
        <f t="shared" si="1"/>
        <v>100000</v>
      </c>
      <c r="AG12" s="41"/>
      <c r="AH12" s="41">
        <f t="shared" ref="AH12:AH18" si="9">F12*6000</f>
        <v>144000</v>
      </c>
      <c r="AI12" s="40">
        <f t="shared" ref="AI12:AI18" si="10">H12*4000</f>
        <v>96000</v>
      </c>
      <c r="AJ12" s="40">
        <f t="shared" ref="AJ12:AJ18" si="11">K12*4000</f>
        <v>96000</v>
      </c>
      <c r="AK12" s="40">
        <f t="shared" ref="AK12:AK18" si="12">O12*5000</f>
        <v>0</v>
      </c>
      <c r="AL12" s="40">
        <v>150000</v>
      </c>
      <c r="AM12" s="40">
        <v>0</v>
      </c>
      <c r="AN12" s="40">
        <f t="shared" si="2"/>
        <v>1136000</v>
      </c>
      <c r="AO12" s="40">
        <f t="shared" si="3"/>
        <v>2086000</v>
      </c>
      <c r="AP12" s="40">
        <f t="shared" ref="AP12:AP18" si="13">AO12*AQ12</f>
        <v>0</v>
      </c>
      <c r="AQ12" s="40"/>
      <c r="AR12" s="10">
        <f t="shared" si="4"/>
        <v>0</v>
      </c>
      <c r="AS12" s="40">
        <f t="shared" ref="AS12:AS18" si="14">AQ12*AR12</f>
        <v>0</v>
      </c>
      <c r="AT12" s="40"/>
      <c r="AU12" s="40">
        <v>0</v>
      </c>
      <c r="AV12" s="40" t="s">
        <v>82</v>
      </c>
      <c r="AW12" s="42">
        <f t="shared" ref="AW12:AW18" si="15">SUM(AP12,AS12,AT12,AU12)</f>
        <v>0</v>
      </c>
      <c r="AX12" s="43" t="str">
        <f>B12</f>
        <v>Siti Aminah</v>
      </c>
      <c r="AY12" s="55">
        <f t="shared" ref="AY12:AY18" si="16">AO12-AW12</f>
        <v>2086000</v>
      </c>
    </row>
    <row r="13" spans="1:51" ht="15" customHeight="1">
      <c r="A13" s="70">
        <v>3</v>
      </c>
      <c r="B13" s="111" t="str">
        <f>'Data Base SMA PPIB'!B10</f>
        <v>Muhammad Idham</v>
      </c>
      <c r="C13" s="111" t="str">
        <f>'Data Base SMA PPIB'!J10</f>
        <v>Wali Kelas</v>
      </c>
      <c r="D13" s="113">
        <f t="shared" si="0"/>
        <v>24</v>
      </c>
      <c r="E13" s="113">
        <v>24</v>
      </c>
      <c r="F13" s="113">
        <f t="shared" si="5"/>
        <v>24</v>
      </c>
      <c r="G13" s="113">
        <v>0</v>
      </c>
      <c r="H13" s="113">
        <f t="shared" si="6"/>
        <v>24</v>
      </c>
      <c r="I13" s="114">
        <v>0</v>
      </c>
      <c r="J13" s="113">
        <v>0</v>
      </c>
      <c r="K13" s="113">
        <f t="shared" si="7"/>
        <v>24</v>
      </c>
      <c r="L13" s="113">
        <v>0</v>
      </c>
      <c r="M13" s="113">
        <v>0</v>
      </c>
      <c r="N13" s="9">
        <v>0</v>
      </c>
      <c r="O13" s="9"/>
      <c r="P13" s="9"/>
      <c r="Q13" s="9" t="str">
        <f>'Data Base SMA PPIB'!R10</f>
        <v>SMA</v>
      </c>
      <c r="R13" s="9" t="str">
        <f ca="1">'Data Base SMA PPIB'!F10</f>
        <v>4 Tahun 1 Bulan 9 Hari</v>
      </c>
      <c r="S13" s="51">
        <v>4</v>
      </c>
      <c r="T13" s="51" t="str">
        <f>'Data Base SMA PPIB'!G10</f>
        <v>PT</v>
      </c>
      <c r="U13" s="45">
        <v>950000</v>
      </c>
      <c r="V13" s="41">
        <v>50000</v>
      </c>
      <c r="W13" s="21">
        <f>'Data Base SMA PPIB'!X10</f>
        <v>4</v>
      </c>
      <c r="X13" s="40">
        <f t="shared" si="8"/>
        <v>80000</v>
      </c>
      <c r="Y13" s="40">
        <f t="shared" ref="Y13" si="17">U13+V13+X13</f>
        <v>1080000</v>
      </c>
      <c r="Z13" s="41"/>
      <c r="AA13" s="41">
        <v>150000</v>
      </c>
      <c r="AB13" s="41">
        <v>100000</v>
      </c>
      <c r="AC13" s="41"/>
      <c r="AD13" s="41"/>
      <c r="AE13" s="41"/>
      <c r="AF13" s="109">
        <f t="shared" si="1"/>
        <v>100000</v>
      </c>
      <c r="AG13" s="41"/>
      <c r="AH13" s="41">
        <f t="shared" si="9"/>
        <v>144000</v>
      </c>
      <c r="AI13" s="40">
        <f t="shared" si="10"/>
        <v>96000</v>
      </c>
      <c r="AJ13" s="40">
        <f t="shared" si="11"/>
        <v>96000</v>
      </c>
      <c r="AK13" s="40">
        <f t="shared" si="12"/>
        <v>0</v>
      </c>
      <c r="AL13" s="40">
        <v>150000</v>
      </c>
      <c r="AM13" s="40">
        <v>0</v>
      </c>
      <c r="AN13" s="40">
        <f t="shared" si="2"/>
        <v>736000</v>
      </c>
      <c r="AO13" s="40">
        <f t="shared" si="3"/>
        <v>1816000</v>
      </c>
      <c r="AP13" s="40">
        <f t="shared" si="13"/>
        <v>0</v>
      </c>
      <c r="AQ13" s="40"/>
      <c r="AR13" s="10">
        <f t="shared" si="4"/>
        <v>0</v>
      </c>
      <c r="AS13" s="40">
        <f t="shared" si="14"/>
        <v>0</v>
      </c>
      <c r="AT13" s="40"/>
      <c r="AU13" s="40">
        <v>0</v>
      </c>
      <c r="AV13" s="40" t="s">
        <v>82</v>
      </c>
      <c r="AW13" s="42">
        <f t="shared" si="15"/>
        <v>0</v>
      </c>
      <c r="AX13" s="43" t="str">
        <f>B13</f>
        <v>Muhammad Idham</v>
      </c>
      <c r="AY13" s="55">
        <f t="shared" si="16"/>
        <v>1816000</v>
      </c>
    </row>
    <row r="14" spans="1:51" s="8" customFormat="1" ht="15" customHeight="1">
      <c r="A14" s="21">
        <v>4</v>
      </c>
      <c r="B14" s="111"/>
      <c r="C14" s="111"/>
      <c r="D14" s="113"/>
      <c r="E14" s="113"/>
      <c r="F14" s="113"/>
      <c r="G14" s="113"/>
      <c r="H14" s="113"/>
      <c r="I14" s="114"/>
      <c r="J14" s="113"/>
      <c r="K14" s="113"/>
      <c r="L14" s="113"/>
      <c r="M14" s="113"/>
      <c r="N14" s="72"/>
      <c r="O14" s="9"/>
      <c r="P14" s="9"/>
      <c r="Q14" s="9">
        <f>'Data Base SMA PPIB'!R11</f>
        <v>0</v>
      </c>
      <c r="R14" s="9">
        <f>'Data Base SMA PPIB'!F11</f>
        <v>0</v>
      </c>
      <c r="S14" s="73"/>
      <c r="T14" s="51">
        <f>'Data Base SMA PPIB'!G11</f>
        <v>0</v>
      </c>
      <c r="U14" s="45"/>
      <c r="V14" s="40"/>
      <c r="W14" s="21"/>
      <c r="X14" s="40">
        <f t="shared" si="8"/>
        <v>0</v>
      </c>
      <c r="Y14" s="40"/>
      <c r="Z14" s="41"/>
      <c r="AA14" s="41"/>
      <c r="AB14" s="41"/>
      <c r="AC14" s="41"/>
      <c r="AD14" s="41"/>
      <c r="AE14" s="41"/>
      <c r="AF14" s="109">
        <f t="shared" si="1"/>
        <v>0</v>
      </c>
      <c r="AG14" s="41"/>
      <c r="AH14" s="41">
        <f t="shared" si="9"/>
        <v>0</v>
      </c>
      <c r="AI14" s="40">
        <f t="shared" si="10"/>
        <v>0</v>
      </c>
      <c r="AJ14" s="40">
        <f t="shared" si="11"/>
        <v>0</v>
      </c>
      <c r="AK14" s="40">
        <f t="shared" si="12"/>
        <v>0</v>
      </c>
      <c r="AL14" s="40"/>
      <c r="AM14" s="40">
        <v>0</v>
      </c>
      <c r="AN14" s="40">
        <f t="shared" si="2"/>
        <v>0</v>
      </c>
      <c r="AO14" s="40">
        <f t="shared" si="3"/>
        <v>0</v>
      </c>
      <c r="AP14" s="40">
        <f t="shared" si="13"/>
        <v>0</v>
      </c>
      <c r="AQ14" s="40"/>
      <c r="AR14" s="10">
        <f t="shared" si="4"/>
        <v>0</v>
      </c>
      <c r="AS14" s="40">
        <f t="shared" si="14"/>
        <v>0</v>
      </c>
      <c r="AT14" s="40"/>
      <c r="AU14" s="40">
        <v>0</v>
      </c>
      <c r="AV14" s="40" t="s">
        <v>82</v>
      </c>
      <c r="AW14" s="40">
        <f t="shared" si="15"/>
        <v>0</v>
      </c>
      <c r="AX14" s="43"/>
      <c r="AY14" s="55">
        <f t="shared" si="16"/>
        <v>0</v>
      </c>
    </row>
    <row r="15" spans="1:51" ht="15" customHeight="1">
      <c r="A15" s="70">
        <v>5</v>
      </c>
      <c r="B15" s="111"/>
      <c r="C15" s="111"/>
      <c r="D15" s="113"/>
      <c r="E15" s="113"/>
      <c r="F15" s="113"/>
      <c r="G15" s="113"/>
      <c r="H15" s="113"/>
      <c r="I15" s="114"/>
      <c r="J15" s="113"/>
      <c r="K15" s="113"/>
      <c r="L15" s="113"/>
      <c r="M15" s="113"/>
      <c r="N15" s="9"/>
      <c r="O15" s="9"/>
      <c r="P15" s="9"/>
      <c r="Q15" s="9">
        <f>'Data Base SMA PPIB'!R12</f>
        <v>0</v>
      </c>
      <c r="R15" s="9">
        <f>'Data Base SMA PPIB'!F12</f>
        <v>0</v>
      </c>
      <c r="S15" s="51"/>
      <c r="T15" s="51">
        <f>'Data Base SMA PPIB'!G12</f>
        <v>0</v>
      </c>
      <c r="U15" s="45"/>
      <c r="V15" s="40"/>
      <c r="W15" s="21"/>
      <c r="X15" s="40">
        <f t="shared" si="8"/>
        <v>0</v>
      </c>
      <c r="Y15" s="40"/>
      <c r="Z15" s="41"/>
      <c r="AA15" s="41"/>
      <c r="AB15" s="41"/>
      <c r="AC15" s="41"/>
      <c r="AD15" s="41"/>
      <c r="AE15" s="41"/>
      <c r="AF15" s="109">
        <f t="shared" si="1"/>
        <v>0</v>
      </c>
      <c r="AG15" s="41"/>
      <c r="AH15" s="41">
        <f t="shared" si="9"/>
        <v>0</v>
      </c>
      <c r="AI15" s="40">
        <f t="shared" si="10"/>
        <v>0</v>
      </c>
      <c r="AJ15" s="40">
        <f t="shared" si="11"/>
        <v>0</v>
      </c>
      <c r="AK15" s="40">
        <f t="shared" si="12"/>
        <v>0</v>
      </c>
      <c r="AL15" s="40"/>
      <c r="AM15" s="40">
        <v>0</v>
      </c>
      <c r="AN15" s="40">
        <f t="shared" si="2"/>
        <v>0</v>
      </c>
      <c r="AO15" s="40">
        <f t="shared" si="3"/>
        <v>0</v>
      </c>
      <c r="AP15" s="40">
        <f t="shared" si="13"/>
        <v>0</v>
      </c>
      <c r="AQ15" s="40"/>
      <c r="AR15" s="10">
        <f t="shared" si="4"/>
        <v>0</v>
      </c>
      <c r="AS15" s="40">
        <f t="shared" si="14"/>
        <v>0</v>
      </c>
      <c r="AT15" s="40"/>
      <c r="AU15" s="40">
        <v>0</v>
      </c>
      <c r="AV15" s="40" t="s">
        <v>82</v>
      </c>
      <c r="AW15" s="42">
        <f t="shared" si="15"/>
        <v>0</v>
      </c>
      <c r="AX15" s="43"/>
      <c r="AY15" s="55">
        <f t="shared" si="16"/>
        <v>0</v>
      </c>
    </row>
    <row r="16" spans="1:51" ht="15" customHeight="1">
      <c r="A16" s="70">
        <v>6</v>
      </c>
      <c r="B16" s="111"/>
      <c r="C16" s="111"/>
      <c r="D16" s="113"/>
      <c r="E16" s="113"/>
      <c r="F16" s="113"/>
      <c r="G16" s="113"/>
      <c r="H16" s="113"/>
      <c r="I16" s="114"/>
      <c r="J16" s="113"/>
      <c r="K16" s="113"/>
      <c r="L16" s="113"/>
      <c r="M16" s="113"/>
      <c r="N16" s="9"/>
      <c r="O16" s="9"/>
      <c r="P16" s="9"/>
      <c r="Q16" s="9">
        <f>'Data Base SMA PPIB'!R13</f>
        <v>0</v>
      </c>
      <c r="R16" s="9">
        <f>'Data Base SMA PPIB'!F13</f>
        <v>0</v>
      </c>
      <c r="S16" s="51"/>
      <c r="T16" s="51">
        <f>'Data Base SMA PPIB'!G13</f>
        <v>0</v>
      </c>
      <c r="U16" s="45"/>
      <c r="V16" s="40"/>
      <c r="W16" s="21"/>
      <c r="X16" s="40">
        <f t="shared" si="8"/>
        <v>0</v>
      </c>
      <c r="Y16" s="40"/>
      <c r="Z16" s="41"/>
      <c r="AA16" s="41"/>
      <c r="AB16" s="41"/>
      <c r="AC16" s="41"/>
      <c r="AD16" s="41"/>
      <c r="AE16" s="41"/>
      <c r="AF16" s="109">
        <f t="shared" si="1"/>
        <v>0</v>
      </c>
      <c r="AG16" s="41"/>
      <c r="AH16" s="41">
        <f t="shared" si="9"/>
        <v>0</v>
      </c>
      <c r="AI16" s="40">
        <f t="shared" si="10"/>
        <v>0</v>
      </c>
      <c r="AJ16" s="40">
        <f t="shared" si="11"/>
        <v>0</v>
      </c>
      <c r="AK16" s="40">
        <f t="shared" si="12"/>
        <v>0</v>
      </c>
      <c r="AL16" s="40"/>
      <c r="AM16" s="40">
        <v>0</v>
      </c>
      <c r="AN16" s="40">
        <f t="shared" si="2"/>
        <v>0</v>
      </c>
      <c r="AO16" s="40">
        <f t="shared" si="3"/>
        <v>0</v>
      </c>
      <c r="AP16" s="40">
        <f t="shared" si="13"/>
        <v>0</v>
      </c>
      <c r="AQ16" s="40"/>
      <c r="AR16" s="10">
        <f t="shared" si="4"/>
        <v>0</v>
      </c>
      <c r="AS16" s="40">
        <f t="shared" si="14"/>
        <v>0</v>
      </c>
      <c r="AT16" s="40"/>
      <c r="AU16" s="40">
        <v>0</v>
      </c>
      <c r="AV16" s="40" t="s">
        <v>82</v>
      </c>
      <c r="AW16" s="42">
        <f t="shared" si="15"/>
        <v>0</v>
      </c>
      <c r="AX16" s="43"/>
      <c r="AY16" s="55">
        <f t="shared" si="16"/>
        <v>0</v>
      </c>
    </row>
    <row r="17" spans="1:51" ht="15" customHeight="1">
      <c r="A17" s="70">
        <v>7</v>
      </c>
      <c r="B17" s="111"/>
      <c r="C17" s="111"/>
      <c r="D17" s="113"/>
      <c r="E17" s="113"/>
      <c r="F17" s="113"/>
      <c r="G17" s="113"/>
      <c r="H17" s="113"/>
      <c r="I17" s="114"/>
      <c r="J17" s="113"/>
      <c r="K17" s="113"/>
      <c r="L17" s="113"/>
      <c r="M17" s="113"/>
      <c r="N17" s="9"/>
      <c r="O17" s="9"/>
      <c r="P17" s="9"/>
      <c r="Q17" s="9"/>
      <c r="R17" s="9">
        <f>'Data Base TK Malili'!F14</f>
        <v>0</v>
      </c>
      <c r="S17" s="51"/>
      <c r="T17" s="51">
        <f>'Data Base SMA PPIB'!G14</f>
        <v>0</v>
      </c>
      <c r="U17" s="45"/>
      <c r="V17" s="40"/>
      <c r="W17" s="21"/>
      <c r="X17" s="40">
        <f t="shared" si="8"/>
        <v>0</v>
      </c>
      <c r="Y17" s="40"/>
      <c r="Z17" s="41"/>
      <c r="AA17" s="41"/>
      <c r="AB17" s="41"/>
      <c r="AC17" s="41"/>
      <c r="AD17" s="41"/>
      <c r="AE17" s="41"/>
      <c r="AF17" s="109">
        <f t="shared" si="1"/>
        <v>0</v>
      </c>
      <c r="AG17" s="41"/>
      <c r="AH17" s="41">
        <f t="shared" si="9"/>
        <v>0</v>
      </c>
      <c r="AI17" s="40">
        <f t="shared" si="10"/>
        <v>0</v>
      </c>
      <c r="AJ17" s="40">
        <f t="shared" si="11"/>
        <v>0</v>
      </c>
      <c r="AK17" s="40">
        <f t="shared" si="12"/>
        <v>0</v>
      </c>
      <c r="AL17" s="40"/>
      <c r="AM17" s="40">
        <v>0</v>
      </c>
      <c r="AN17" s="40">
        <f t="shared" si="2"/>
        <v>0</v>
      </c>
      <c r="AO17" s="40">
        <f t="shared" si="3"/>
        <v>0</v>
      </c>
      <c r="AP17" s="40">
        <f t="shared" si="13"/>
        <v>0</v>
      </c>
      <c r="AQ17" s="40"/>
      <c r="AR17" s="10">
        <f t="shared" si="4"/>
        <v>0</v>
      </c>
      <c r="AS17" s="40">
        <f t="shared" si="14"/>
        <v>0</v>
      </c>
      <c r="AT17" s="40"/>
      <c r="AU17" s="40">
        <v>0</v>
      </c>
      <c r="AV17" s="40" t="s">
        <v>82</v>
      </c>
      <c r="AW17" s="42">
        <f t="shared" si="15"/>
        <v>0</v>
      </c>
      <c r="AX17" s="43"/>
      <c r="AY17" s="55">
        <f t="shared" si="16"/>
        <v>0</v>
      </c>
    </row>
    <row r="18" spans="1:51" ht="15" customHeight="1">
      <c r="A18" s="70">
        <v>8</v>
      </c>
      <c r="B18" s="111"/>
      <c r="C18" s="111"/>
      <c r="D18" s="113"/>
      <c r="E18" s="113"/>
      <c r="F18" s="113"/>
      <c r="G18" s="113"/>
      <c r="H18" s="113"/>
      <c r="I18" s="114"/>
      <c r="J18" s="113"/>
      <c r="K18" s="113"/>
      <c r="L18" s="113"/>
      <c r="M18" s="113"/>
      <c r="N18" s="9"/>
      <c r="O18" s="9"/>
      <c r="P18" s="9"/>
      <c r="Q18" s="9"/>
      <c r="R18" s="9">
        <f>'Data Base TK Malili'!F15</f>
        <v>0</v>
      </c>
      <c r="S18" s="51"/>
      <c r="T18" s="51">
        <f>'Data Base SMA PPIB'!G15</f>
        <v>0</v>
      </c>
      <c r="U18" s="45"/>
      <c r="V18" s="40"/>
      <c r="W18" s="21"/>
      <c r="X18" s="40">
        <f t="shared" si="8"/>
        <v>0</v>
      </c>
      <c r="Y18" s="40"/>
      <c r="Z18" s="41"/>
      <c r="AA18" s="41"/>
      <c r="AB18" s="49"/>
      <c r="AC18" s="49"/>
      <c r="AD18" s="41"/>
      <c r="AE18" s="49"/>
      <c r="AF18" s="109">
        <f t="shared" si="1"/>
        <v>0</v>
      </c>
      <c r="AG18" s="41"/>
      <c r="AH18" s="41">
        <f t="shared" si="9"/>
        <v>0</v>
      </c>
      <c r="AI18" s="40">
        <f t="shared" si="10"/>
        <v>0</v>
      </c>
      <c r="AJ18" s="40">
        <f t="shared" si="11"/>
        <v>0</v>
      </c>
      <c r="AK18" s="40">
        <f t="shared" si="12"/>
        <v>0</v>
      </c>
      <c r="AL18" s="40"/>
      <c r="AM18" s="40">
        <v>0</v>
      </c>
      <c r="AN18" s="40">
        <f t="shared" si="2"/>
        <v>0</v>
      </c>
      <c r="AO18" s="40">
        <f t="shared" si="3"/>
        <v>0</v>
      </c>
      <c r="AP18" s="40">
        <f t="shared" si="13"/>
        <v>0</v>
      </c>
      <c r="AQ18" s="40"/>
      <c r="AR18" s="10">
        <f t="shared" si="4"/>
        <v>0</v>
      </c>
      <c r="AS18" s="40">
        <f t="shared" si="14"/>
        <v>0</v>
      </c>
      <c r="AT18" s="40"/>
      <c r="AU18" s="40">
        <v>0</v>
      </c>
      <c r="AV18" s="40" t="s">
        <v>82</v>
      </c>
      <c r="AW18" s="42">
        <f t="shared" si="15"/>
        <v>0</v>
      </c>
      <c r="AX18" s="43"/>
      <c r="AY18" s="55">
        <f t="shared" si="16"/>
        <v>0</v>
      </c>
    </row>
    <row r="19" spans="1:51" s="9" customFormat="1">
      <c r="A19" s="70"/>
      <c r="B19" s="111"/>
      <c r="C19" s="111"/>
      <c r="D19" s="111"/>
      <c r="E19" s="20"/>
      <c r="F19" s="20"/>
      <c r="H19" s="20"/>
      <c r="K19" s="20"/>
      <c r="S19" s="51"/>
      <c r="T19" s="51"/>
      <c r="U19" s="48"/>
      <c r="V19" s="40"/>
      <c r="W19" s="21"/>
      <c r="X19" s="40"/>
      <c r="Y19" s="40"/>
      <c r="Z19" s="41"/>
      <c r="AA19" s="41"/>
      <c r="AB19" s="41"/>
      <c r="AC19" s="41"/>
      <c r="AD19" s="41"/>
      <c r="AE19" s="41"/>
      <c r="AF19" s="41"/>
      <c r="AG19" s="41"/>
      <c r="AH19" s="41"/>
      <c r="AI19" s="40"/>
      <c r="AJ19" s="40"/>
      <c r="AK19" s="40"/>
      <c r="AL19" s="40"/>
      <c r="AM19" s="40"/>
      <c r="AN19" s="40"/>
      <c r="AO19" s="40"/>
      <c r="AP19" s="40"/>
      <c r="AQ19" s="40"/>
      <c r="AR19" s="10"/>
      <c r="AS19" s="40"/>
      <c r="AT19" s="40"/>
      <c r="AU19" s="40"/>
      <c r="AV19" s="40"/>
      <c r="AW19" s="42"/>
      <c r="AX19" s="43"/>
      <c r="AY19" s="55">
        <f>SUM(AY11:AY18)</f>
        <v>6318000</v>
      </c>
    </row>
    <row r="20" spans="1:51" s="9" customFormat="1">
      <c r="A20" s="70"/>
      <c r="B20" s="111">
        <f>'Data Base Guru SD'!B44</f>
        <v>0</v>
      </c>
      <c r="C20" s="111"/>
      <c r="D20" s="111"/>
      <c r="E20" s="20"/>
      <c r="F20" s="20"/>
      <c r="H20" s="20"/>
      <c r="K20" s="20"/>
      <c r="R20" s="9">
        <f>'Data Base Guru SD'!F44</f>
        <v>0</v>
      </c>
      <c r="S20" s="51"/>
      <c r="T20" s="51"/>
      <c r="U20" s="48"/>
      <c r="V20" s="40"/>
      <c r="W20" s="21"/>
      <c r="X20" s="40"/>
      <c r="Y20" s="40"/>
      <c r="Z20" s="41"/>
      <c r="AA20" s="41"/>
      <c r="AB20" s="41"/>
      <c r="AC20" s="41"/>
      <c r="AD20" s="41"/>
      <c r="AE20" s="41"/>
      <c r="AF20" s="41"/>
      <c r="AG20" s="41"/>
      <c r="AH20" s="41"/>
      <c r="AI20" s="40"/>
      <c r="AJ20" s="40"/>
      <c r="AK20" s="40"/>
      <c r="AL20" s="40"/>
      <c r="AM20" s="40"/>
      <c r="AN20" s="40"/>
      <c r="AO20" s="40"/>
      <c r="AP20" s="40"/>
      <c r="AQ20" s="40"/>
      <c r="AR20" s="10"/>
      <c r="AS20" s="40"/>
      <c r="AT20" s="40"/>
      <c r="AU20" s="40"/>
      <c r="AV20" s="40"/>
      <c r="AW20" s="42"/>
      <c r="AX20" s="43"/>
      <c r="AY20" s="55"/>
    </row>
    <row r="21" spans="1:51">
      <c r="A21" s="61"/>
      <c r="B21" s="67"/>
      <c r="C21" s="67"/>
      <c r="D21" s="67"/>
      <c r="E21" s="68"/>
      <c r="U21" s="62"/>
      <c r="V21" s="60"/>
      <c r="W21" s="63"/>
      <c r="X21" s="54"/>
      <c r="Y21" s="54"/>
      <c r="Z21" s="64"/>
      <c r="AA21" s="64"/>
      <c r="AB21" s="64"/>
      <c r="AC21" s="64"/>
      <c r="AD21" s="64"/>
      <c r="AE21" s="64"/>
      <c r="AF21" s="64"/>
      <c r="AG21" s="64"/>
      <c r="AH21" s="64"/>
      <c r="AI21" s="54"/>
      <c r="AJ21" s="54"/>
      <c r="AK21" s="60"/>
      <c r="AL21" s="60"/>
      <c r="AM21" s="69"/>
      <c r="AN21" s="54"/>
      <c r="AO21" s="54"/>
      <c r="AP21" s="54"/>
      <c r="AQ21" s="60"/>
      <c r="AR21" s="65"/>
      <c r="AS21" s="60"/>
      <c r="AT21" s="60"/>
      <c r="AU21" s="60"/>
      <c r="AV21" s="60"/>
      <c r="AW21" s="54"/>
      <c r="AX21" s="66"/>
      <c r="AY21" s="46"/>
    </row>
    <row r="22" spans="1:51">
      <c r="A22" s="61"/>
      <c r="B22" s="67"/>
      <c r="C22" s="67"/>
      <c r="D22" s="67"/>
      <c r="E22" s="68"/>
      <c r="U22" s="62"/>
      <c r="V22" s="60"/>
      <c r="W22" s="63"/>
      <c r="X22" s="54"/>
      <c r="Y22" s="54"/>
      <c r="Z22" s="64"/>
      <c r="AA22" s="64"/>
      <c r="AB22" s="64"/>
      <c r="AC22" s="64"/>
      <c r="AD22" s="64"/>
      <c r="AE22" s="64"/>
      <c r="AF22" s="64"/>
      <c r="AG22" s="64"/>
      <c r="AH22" s="64"/>
      <c r="AI22" s="54"/>
      <c r="AJ22" s="54"/>
      <c r="AK22" s="60"/>
      <c r="AL22" s="60"/>
      <c r="AM22" s="69"/>
      <c r="AN22" s="54"/>
      <c r="AO22" s="54"/>
      <c r="AP22" s="54"/>
      <c r="AQ22" s="60"/>
      <c r="AR22" s="65"/>
      <c r="AS22" s="60"/>
      <c r="AT22" s="60"/>
      <c r="AU22" s="60"/>
      <c r="AV22" s="60"/>
      <c r="AW22" s="54"/>
      <c r="AX22" s="66"/>
      <c r="AY22" s="46"/>
    </row>
    <row r="37" spans="15:51" s="58" customFormat="1">
      <c r="O37" s="53"/>
      <c r="P37" s="53"/>
      <c r="Q37" s="53"/>
      <c r="R37" s="53"/>
      <c r="AY37" s="7"/>
    </row>
    <row r="38" spans="15:51" s="58" customFormat="1" ht="14.15" customHeight="1">
      <c r="O38" s="78"/>
      <c r="P38" s="78"/>
      <c r="Q38" s="78"/>
      <c r="R38" s="78"/>
      <c r="AY38" s="7"/>
    </row>
    <row r="39" spans="15:51" s="58" customFormat="1">
      <c r="O39" s="78"/>
      <c r="P39" s="78"/>
      <c r="Q39" s="78"/>
      <c r="R39" s="78"/>
      <c r="AY39" s="7"/>
    </row>
    <row r="40" spans="15:51" s="58" customFormat="1">
      <c r="O40" s="78"/>
      <c r="P40" s="78"/>
      <c r="Q40" s="78"/>
      <c r="R40" s="78"/>
      <c r="AY40" s="7"/>
    </row>
  </sheetData>
  <mergeCells count="49">
    <mergeCell ref="AY8:AY10"/>
    <mergeCell ref="AV9:AV10"/>
    <mergeCell ref="AI9:AI10"/>
    <mergeCell ref="AO8:AO10"/>
    <mergeCell ref="AP8:AR8"/>
    <mergeCell ref="AW8:AW10"/>
    <mergeCell ref="AX8:AX10"/>
    <mergeCell ref="AT9:AT10"/>
    <mergeCell ref="AU9:AU10"/>
    <mergeCell ref="AM9:AM10"/>
    <mergeCell ref="AP9:AP10"/>
    <mergeCell ref="AQ9:AQ10"/>
    <mergeCell ref="AR9:AR10"/>
    <mergeCell ref="AS9:AS10"/>
    <mergeCell ref="T8:T10"/>
    <mergeCell ref="U8:X8"/>
    <mergeCell ref="Y8:Y10"/>
    <mergeCell ref="Z8:AM8"/>
    <mergeCell ref="AN8:AN10"/>
    <mergeCell ref="AA9:AA10"/>
    <mergeCell ref="AB9:AE9"/>
    <mergeCell ref="AF9:AF10"/>
    <mergeCell ref="AG9:AG10"/>
    <mergeCell ref="AJ9:AJ10"/>
    <mergeCell ref="AK9:AK10"/>
    <mergeCell ref="AL9:AL10"/>
    <mergeCell ref="U9:U10"/>
    <mergeCell ref="V9:X9"/>
    <mergeCell ref="Z9:Z10"/>
    <mergeCell ref="AH9:AH10"/>
    <mergeCell ref="N8:N10"/>
    <mergeCell ref="O8:O10"/>
    <mergeCell ref="Q8:Q10"/>
    <mergeCell ref="R8:R10"/>
    <mergeCell ref="S8:S10"/>
    <mergeCell ref="P8:P10"/>
    <mergeCell ref="M8:M10"/>
    <mergeCell ref="A8:A10"/>
    <mergeCell ref="B8:B10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C8:C10"/>
  </mergeCells>
  <pageMargins left="0.70866141732283461" right="0.70866141732283461" top="0.74803149606299213" bottom="0.74803149606299213" header="0.31496062992125984" footer="0.31496062992125984"/>
  <pageSetup paperSize="256" scale="56" orientation="landscape" horizontalDpi="4294967293" verticalDpi="300" r:id="rId1"/>
  <colBreaks count="1" manualBreakCount="1">
    <brk id="33" max="57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48F93-7CBC-4983-B8FE-DCE39D6EDFC0}">
  <dimension ref="A2:H35"/>
  <sheetViews>
    <sheetView topLeftCell="A24" zoomScale="130" zoomScaleNormal="130" workbookViewId="0">
      <selection activeCell="D29" sqref="D29"/>
    </sheetView>
  </sheetViews>
  <sheetFormatPr defaultColWidth="9.1796875" defaultRowHeight="14.5"/>
  <cols>
    <col min="1" max="1" width="9.1796875" style="22"/>
    <col min="2" max="2" width="11.1796875" style="22" customWidth="1"/>
    <col min="3" max="3" width="26.7265625" style="22" customWidth="1"/>
    <col min="4" max="4" width="24.1796875" style="22" customWidth="1"/>
    <col min="5" max="5" width="19.1796875" style="22" customWidth="1"/>
    <col min="6" max="16384" width="9.1796875" style="22"/>
  </cols>
  <sheetData>
    <row r="2" spans="1:8" ht="15" thickBot="1"/>
    <row r="3" spans="1:8">
      <c r="A3" s="23"/>
      <c r="B3" s="24"/>
      <c r="C3" s="24"/>
      <c r="D3" s="264" t="s">
        <v>39</v>
      </c>
      <c r="E3" s="265"/>
      <c r="H3" s="266">
        <v>1</v>
      </c>
    </row>
    <row r="4" spans="1:8">
      <c r="A4" s="25"/>
      <c r="D4" s="267" t="s">
        <v>45</v>
      </c>
      <c r="E4" s="268"/>
      <c r="H4" s="266"/>
    </row>
    <row r="5" spans="1:8">
      <c r="A5" s="25"/>
      <c r="D5" s="26" t="s">
        <v>46</v>
      </c>
      <c r="E5" s="34">
        <f>IF(LEN(VLOOKUP(H3,'SMA PIPB'!$A$11:$AX$49,21,FALSE))=0," ",VLOOKUP(H3,'SMA PIPB'!$A$11:$AX$49,21,FALSE))</f>
        <v>950000</v>
      </c>
    </row>
    <row r="6" spans="1:8">
      <c r="A6" s="25"/>
      <c r="D6" s="26" t="s">
        <v>47</v>
      </c>
      <c r="E6" s="34">
        <f>IF(LEN(VLOOKUP(H3,'SMA PIPB'!$A$11:$AW$49,22,FALSE))=0," ",VLOOKUP(H3,'SMA PIPB'!$A$11:$AW$49,22,FALSE))</f>
        <v>50000</v>
      </c>
    </row>
    <row r="7" spans="1:8">
      <c r="A7" s="269" t="s">
        <v>40</v>
      </c>
      <c r="B7" s="270"/>
      <c r="C7" s="271"/>
      <c r="D7" s="26" t="s">
        <v>48</v>
      </c>
      <c r="E7" s="34">
        <f>IF(LEN(VLOOKUP(H3,'SMA PIPB'!$A$11:$AW$49,24,FALSE))=0,"0",VLOOKUP(H3,'SMA PIPB'!$A$11:$AW$49,24,FALSE))</f>
        <v>60000</v>
      </c>
    </row>
    <row r="8" spans="1:8">
      <c r="A8" s="25" t="s">
        <v>31</v>
      </c>
      <c r="B8" s="272">
        <f>IF(LEN(VLOOKUP(H3,'SMA PIPB'!$A$11:$AX$49,1,FALSE))=0," ",VLOOKUP(H3,'SMA PIPB'!$A$11:$AX$49,1,FALSE))</f>
        <v>1</v>
      </c>
      <c r="C8" s="273"/>
      <c r="D8" s="27" t="s">
        <v>49</v>
      </c>
      <c r="E8" s="35">
        <f>SUM(E5:E7)</f>
        <v>1060000</v>
      </c>
    </row>
    <row r="9" spans="1:8">
      <c r="A9" s="25" t="s">
        <v>38</v>
      </c>
      <c r="B9" s="272" t="str">
        <f>IF(LEN(VLOOKUP(H3,'SMA PIPB'!$A$11:$AX$49,2,FALSE))=0," ",VLOOKUP(H3,'SMA PIPB'!$A$11:$AX$49,2,FALSE))</f>
        <v>Irwan Jaya</v>
      </c>
      <c r="C9" s="273"/>
      <c r="D9" s="33" t="s">
        <v>50</v>
      </c>
      <c r="E9" s="36"/>
    </row>
    <row r="10" spans="1:8">
      <c r="A10" s="25"/>
      <c r="C10" s="56"/>
      <c r="D10" s="26" t="s">
        <v>51</v>
      </c>
      <c r="E10" s="34">
        <f>IF(LEN(VLOOKUP(H3,'SMA PIPB'!$A$11:$AW$49,26,FALSE))=0,"0",VLOOKUP(H3,'SMA PIPB'!$A$11:$AW$49,26,FALSE))</f>
        <v>500000</v>
      </c>
    </row>
    <row r="11" spans="1:8" ht="15.75" customHeight="1">
      <c r="A11" s="274" t="str">
        <f>'SMA PIPB'!B3</f>
        <v>Periode 26 Juni 2026 s/d 25 Juli 2026</v>
      </c>
      <c r="B11" s="275"/>
      <c r="C11" s="276"/>
      <c r="D11" s="26" t="s">
        <v>404</v>
      </c>
      <c r="E11" s="34">
        <f>IF(LEN(VLOOKUP(H3,'SMA PIPB'!$A$11:$AW$49,27,FALSE))=0,"0",VLOOKUP(H3,'SMA PIPB'!$A$11:$AW$49,27,FALSE))</f>
        <v>150000</v>
      </c>
    </row>
    <row r="12" spans="1:8" ht="15.75" customHeight="1">
      <c r="A12" s="274" t="str">
        <f>'SMA PIPB'!B4</f>
        <v>SMA PIPB</v>
      </c>
      <c r="B12" s="275"/>
      <c r="C12" s="276"/>
      <c r="D12" s="26" t="s">
        <v>52</v>
      </c>
      <c r="E12" s="39">
        <f>IF(LEN(VLOOKUP(H3,'SMA PIPB'!$A$11:$AW$49,32,FALSE))=0,"0",VLOOKUP(H3,'SMA PIPB'!$A$11:$AW$49,32,FALSE))</f>
        <v>100000</v>
      </c>
    </row>
    <row r="13" spans="1:8">
      <c r="A13" s="28" t="s">
        <v>41</v>
      </c>
      <c r="C13" s="38">
        <f>IF(LEN(VLOOKUP(H3,'SMA PIPB'!$A$11:$AX$49,5,FALSE))=0," ",VLOOKUP(H3,'SMA PIPB'!$A$11:$AX$49,5,FALSE))</f>
        <v>24</v>
      </c>
      <c r="D13" s="26" t="s">
        <v>409</v>
      </c>
      <c r="E13" s="34">
        <f>IF(LEN(VLOOKUP(H3,'SMA PIPB'!$A$11:$AW$49,33,FALSE))=0,"0",VLOOKUP(H3,'SMA PIPB'!$A$11:$AW$49,33,FALSE))</f>
        <v>0</v>
      </c>
    </row>
    <row r="14" spans="1:8">
      <c r="A14" s="25" t="s">
        <v>42</v>
      </c>
      <c r="C14" s="38">
        <f>IF(LEN(VLOOKUP(H3,'SMA PIPB'!$A$11:$AX$49,6,FALSE))=0," ",VLOOKUP(H3,'SMA PIPB'!$A$11:$AX$49,6,FALSE))</f>
        <v>24</v>
      </c>
      <c r="D14" s="26" t="s">
        <v>410</v>
      </c>
      <c r="E14" s="34"/>
    </row>
    <row r="15" spans="1:8">
      <c r="A15" s="25" t="s">
        <v>43</v>
      </c>
      <c r="C15" s="38">
        <f>IF(LEN(VLOOKUP(H3,'SMA PIPB'!$A$11:$AX$49,7,FALSE))=0," ",VLOOKUP(H3,'SMA PIPB'!$A$11:$AX$49,7,FALSE))</f>
        <v>0</v>
      </c>
      <c r="D15" s="26" t="s">
        <v>54</v>
      </c>
      <c r="E15" s="34">
        <f>IF(LEN(VLOOKUP(H3,'SMA PIPB'!$A$11:$AW$49,35,FALSE))=0,"0",VLOOKUP(H3,'SMA PIPB'!$A$11:$AW$49,35,FALSE))</f>
        <v>96000</v>
      </c>
    </row>
    <row r="16" spans="1:8">
      <c r="A16" s="25" t="s">
        <v>44</v>
      </c>
      <c r="C16" s="38">
        <f>IF(LEN(VLOOKUP(H3,'SMA PIPB'!$A$11:$AX$49,9,FALSE))=0," ",VLOOKUP(H3,'SMA PIPB'!$A$11:$AX$49,9,FALSE))</f>
        <v>0</v>
      </c>
      <c r="D16" s="26" t="s">
        <v>55</v>
      </c>
      <c r="E16" s="34">
        <f>IF(LEN(VLOOKUP(H3,'SMA PIPB'!$A$11:$AW$49,36,FALSE))=0,"0",VLOOKUP(H3,'SMA PIPB'!$A$11:$AW$49,36,FALSE))</f>
        <v>96000</v>
      </c>
    </row>
    <row r="17" spans="1:5">
      <c r="A17" s="25" t="s">
        <v>403</v>
      </c>
      <c r="C17" s="38">
        <f>IF(LEN(VLOOKUP(H3,'SMA PIPB'!$A$11:$AX$49,13,FALSE))=0," ",VLOOKUP(H3,'SMA PIPB'!$A$11:$AX$49,13,FALSE))</f>
        <v>0</v>
      </c>
      <c r="D17" s="26" t="s">
        <v>56</v>
      </c>
      <c r="E17" s="34">
        <f>IF(LEN(VLOOKUP(H3,'SMA PIPB'!$A$11:$AW$49,34,FALSE))=0,"0",VLOOKUP(H3,'SMA PIPB'!$A$11:$AW$49,34,FALSE))</f>
        <v>144000</v>
      </c>
    </row>
    <row r="18" spans="1:5">
      <c r="A18" s="25" t="s">
        <v>73</v>
      </c>
      <c r="C18" s="50">
        <f>IF(LEN(VLOOKUP(H3,'SMA PIPB'!$A$11:$AX$49,10,FALSE))=0," ",VLOOKUP(H3,'SMA PIPB'!$A$11:$AX$49,10,FALSE))</f>
        <v>0</v>
      </c>
      <c r="D18" s="26" t="s">
        <v>58</v>
      </c>
      <c r="E18" s="34">
        <f>IF(LEN(VLOOKUP(H3,'SMA PIPB'!$A$11:$AW$49,37,FALSE))=0,"0",VLOOKUP(H3,'SMA PIPB'!$A$11:$AW$49,37,FALSE))</f>
        <v>120000</v>
      </c>
    </row>
    <row r="19" spans="1:5">
      <c r="A19" s="25" t="s">
        <v>74</v>
      </c>
      <c r="C19" s="50">
        <f>IF(LEN(VLOOKUP(H3,'SMA PIPB'!$A$11:$AX$49,12,FALSE))=0," ",VLOOKUP(H3,'SMA PIPB'!$A$11:$AX$49,12,FALSE))</f>
        <v>0</v>
      </c>
      <c r="D19" s="26" t="s">
        <v>59</v>
      </c>
      <c r="E19" s="34">
        <f>IF(LEN(VLOOKUP(H3,'SMA PIPB'!$A$11:$AW$49,38,FALSE))=0,"0",VLOOKUP(H3,'SMA PIPB'!$A$11:$AW$49,38,FALSE))</f>
        <v>150000</v>
      </c>
    </row>
    <row r="20" spans="1:5">
      <c r="A20" s="25" t="s">
        <v>81</v>
      </c>
      <c r="C20" s="52" t="str">
        <f>IF(LEN(VLOOKUP(H3,'SMA PIPB'!$A$11:$AX$49,48,FALSE))=0,"0",VLOOKUP(H3,'SMA PIPB'!$A$11:$AX$49,48,FALSE))</f>
        <v>A</v>
      </c>
      <c r="D20" s="26" t="s">
        <v>78</v>
      </c>
      <c r="E20" s="34">
        <f>IF(LEN(VLOOKUP(H3,'SMA PIPB'!$A$11:$AW$49,39,FALSE))=0,"0",VLOOKUP(H3,'SMA PIPB'!$A$11:$AW$49,39,FALSE))</f>
        <v>0</v>
      </c>
    </row>
    <row r="21" spans="1:5" ht="13.5" customHeight="1">
      <c r="A21" s="277" t="s">
        <v>57</v>
      </c>
      <c r="B21" s="278"/>
      <c r="C21" s="279"/>
      <c r="D21" s="26"/>
      <c r="E21" s="34"/>
    </row>
    <row r="22" spans="1:5">
      <c r="A22" s="277"/>
      <c r="B22" s="278"/>
      <c r="C22" s="279"/>
      <c r="D22" s="26"/>
      <c r="E22" s="34"/>
    </row>
    <row r="23" spans="1:5">
      <c r="A23" s="277"/>
      <c r="B23" s="278"/>
      <c r="C23" s="279"/>
      <c r="D23" s="26"/>
      <c r="E23" s="34"/>
    </row>
    <row r="24" spans="1:5">
      <c r="A24" s="277"/>
      <c r="B24" s="278"/>
      <c r="C24" s="279"/>
      <c r="D24" s="27" t="s">
        <v>60</v>
      </c>
      <c r="E24" s="35">
        <f>SUM(E10:E23)</f>
        <v>1356000</v>
      </c>
    </row>
    <row r="25" spans="1:5" ht="18.75" customHeight="1">
      <c r="A25" s="44" t="s">
        <v>68</v>
      </c>
      <c r="B25" s="280">
        <f ca="1">'SMA PIPB'!B5</f>
        <v>46244</v>
      </c>
      <c r="C25" s="281"/>
      <c r="D25" s="33" t="s">
        <v>61</v>
      </c>
      <c r="E25" s="37"/>
    </row>
    <row r="26" spans="1:5">
      <c r="A26" s="29"/>
      <c r="B26" s="30"/>
      <c r="C26" s="30"/>
      <c r="D26" s="26" t="s">
        <v>62</v>
      </c>
      <c r="E26" s="34">
        <f>IF(LEN(VLOOKUP(H3,'SMA PIPB'!$A$11:$AW$49,46,FALSE))=0,"0",VLOOKUP(H3,'SMA PIPB'!$A$11:$AW$49,46,FALSE))</f>
        <v>0</v>
      </c>
    </row>
    <row r="27" spans="1:5">
      <c r="A27" s="25"/>
      <c r="D27" s="26" t="s">
        <v>72</v>
      </c>
      <c r="E27" s="34">
        <f>IF(LEN(VLOOKUP(H3,'SMA PIPB'!$A$11:$AW$49,45,FALSE))=0,"0",VLOOKUP(H3,'SMA PIPB'!$A$11:$AW$49,45,FALSE))</f>
        <v>0</v>
      </c>
    </row>
    <row r="28" spans="1:5">
      <c r="A28" s="25"/>
      <c r="D28" s="26" t="s">
        <v>63</v>
      </c>
      <c r="E28" s="34">
        <f>IF(LEN(VLOOKUP(H3,'SMA PIPB'!$A$11:$AW$49,47,FALSE))=0,"0",VLOOKUP(H3,'SMA PIPB'!$A$11:$AW$49,47,FALSE))</f>
        <v>0</v>
      </c>
    </row>
    <row r="29" spans="1:5">
      <c r="A29" s="25"/>
      <c r="D29" s="26" t="s">
        <v>415</v>
      </c>
      <c r="E29" s="34">
        <f>IF(LEN(VLOOKUP(H3,'SMA PIPB'!$A$11:$AW$49,42,FALSE))=0,"0",VLOOKUP(H3,'SMA PIPB'!$A$11:$AW$49,42,FALSE))</f>
        <v>0</v>
      </c>
    </row>
    <row r="30" spans="1:5">
      <c r="A30" s="25"/>
      <c r="D30" s="27" t="s">
        <v>64</v>
      </c>
      <c r="E30" s="35">
        <f>SUM(E26:E29)</f>
        <v>0</v>
      </c>
    </row>
    <row r="31" spans="1:5">
      <c r="A31" s="25"/>
      <c r="B31" s="22" t="s">
        <v>402</v>
      </c>
      <c r="D31" s="33" t="s">
        <v>65</v>
      </c>
      <c r="E31" s="37"/>
    </row>
    <row r="32" spans="1:5">
      <c r="A32" s="25"/>
      <c r="D32" s="27" t="s">
        <v>66</v>
      </c>
      <c r="E32" s="35">
        <f>SUM(E8,E24)</f>
        <v>2416000</v>
      </c>
    </row>
    <row r="33" spans="1:5">
      <c r="A33" s="25"/>
      <c r="D33" s="27" t="s">
        <v>64</v>
      </c>
      <c r="E33" s="35">
        <f>E30</f>
        <v>0</v>
      </c>
    </row>
    <row r="34" spans="1:5">
      <c r="A34" s="25"/>
      <c r="D34" s="282" t="s">
        <v>67</v>
      </c>
      <c r="E34" s="262">
        <f>E32-E33</f>
        <v>2416000</v>
      </c>
    </row>
    <row r="35" spans="1:5" ht="15" thickBot="1">
      <c r="A35" s="31"/>
      <c r="B35" s="32"/>
      <c r="C35" s="32"/>
      <c r="D35" s="283"/>
      <c r="E35" s="263"/>
    </row>
  </sheetData>
  <mergeCells count="12">
    <mergeCell ref="E34:E35"/>
    <mergeCell ref="D3:E3"/>
    <mergeCell ref="H3:H4"/>
    <mergeCell ref="D4:E4"/>
    <mergeCell ref="A7:C7"/>
    <mergeCell ref="B8:C8"/>
    <mergeCell ref="B9:C9"/>
    <mergeCell ref="A11:C11"/>
    <mergeCell ref="A12:C12"/>
    <mergeCell ref="A21:C24"/>
    <mergeCell ref="B25:C25"/>
    <mergeCell ref="D34:D35"/>
  </mergeCells>
  <pageMargins left="0.7" right="0.7" top="0.75" bottom="0.75" header="0.3" footer="0.3"/>
  <pageSetup scale="99" orientation="portrait" r:id="rId1"/>
  <colBreaks count="1" manualBreakCount="1">
    <brk id="5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EAFFD-CECF-4B00-9E2C-915D8A48F011}">
  <dimension ref="A1:F13"/>
  <sheetViews>
    <sheetView topLeftCell="A3" zoomScaleNormal="100" workbookViewId="0">
      <selection activeCell="I13" sqref="I13"/>
    </sheetView>
  </sheetViews>
  <sheetFormatPr defaultColWidth="9.1796875" defaultRowHeight="14"/>
  <cols>
    <col min="1" max="1" width="9.1796875" style="11"/>
    <col min="2" max="2" width="30.26953125" style="11" customWidth="1"/>
    <col min="3" max="3" width="22.1796875" style="11" customWidth="1"/>
    <col min="4" max="5" width="26.7265625" style="11" customWidth="1"/>
    <col min="6" max="6" width="24.26953125" style="11" customWidth="1"/>
    <col min="7" max="16384" width="9.1796875" style="11"/>
  </cols>
  <sheetData>
    <row r="1" spans="1:6" ht="22.5" customHeight="1">
      <c r="A1" s="284" t="s">
        <v>80</v>
      </c>
      <c r="B1" s="284"/>
      <c r="C1" s="284"/>
      <c r="D1" s="284"/>
      <c r="E1" s="284"/>
      <c r="F1" s="284"/>
    </row>
    <row r="2" spans="1:6" ht="22.5" customHeight="1">
      <c r="A2" s="284" t="str">
        <f>'SMA PIPB'!B3</f>
        <v>Periode 26 Juni 2026 s/d 25 Juli 2026</v>
      </c>
      <c r="B2" s="284"/>
      <c r="C2" s="284"/>
      <c r="D2" s="284"/>
      <c r="E2" s="284"/>
      <c r="F2" s="284"/>
    </row>
    <row r="3" spans="1:6" ht="22.5" customHeight="1">
      <c r="A3" s="285" t="str">
        <f>'SMA PIPB'!B4</f>
        <v>SMA PIPB</v>
      </c>
      <c r="B3" s="285"/>
      <c r="C3" s="285"/>
      <c r="D3" s="285"/>
      <c r="E3" s="285"/>
      <c r="F3" s="285"/>
    </row>
    <row r="4" spans="1:6" ht="31">
      <c r="A4" s="14" t="s">
        <v>1</v>
      </c>
      <c r="B4" s="16" t="s">
        <v>2</v>
      </c>
      <c r="C4" s="16" t="s">
        <v>35</v>
      </c>
      <c r="D4" s="16" t="s">
        <v>36</v>
      </c>
      <c r="E4" s="16" t="s">
        <v>37</v>
      </c>
      <c r="F4" s="15" t="s">
        <v>29</v>
      </c>
    </row>
    <row r="5" spans="1:6" ht="18.75" customHeight="1">
      <c r="A5" s="12">
        <v>1</v>
      </c>
      <c r="B5" s="13" t="str">
        <f>'SMA PIPB'!B11</f>
        <v>Irwan Jaya</v>
      </c>
      <c r="C5" s="17">
        <f>'SMA PIPB'!Y11</f>
        <v>1060000</v>
      </c>
      <c r="D5" s="17">
        <f>'SMA PIPB'!AN11</f>
        <v>1356000</v>
      </c>
      <c r="E5" s="17">
        <f>'SMA PIPB'!AW11</f>
        <v>0</v>
      </c>
      <c r="F5" s="19">
        <f>'SMA PIPB'!AY11</f>
        <v>2416000</v>
      </c>
    </row>
    <row r="6" spans="1:6" ht="18.75" customHeight="1">
      <c r="A6" s="12">
        <v>2</v>
      </c>
      <c r="B6" s="13" t="str">
        <f>'SMA PIPB'!B12</f>
        <v>Siti Aminah</v>
      </c>
      <c r="C6" s="17">
        <f>'SMA PIPB'!Y12</f>
        <v>950000</v>
      </c>
      <c r="D6" s="17">
        <f>'SMA PIPB'!AN12</f>
        <v>1136000</v>
      </c>
      <c r="E6" s="17">
        <f>'SMA PIPB'!AW12</f>
        <v>0</v>
      </c>
      <c r="F6" s="19">
        <f>'SMA PIPB'!AY12</f>
        <v>2086000</v>
      </c>
    </row>
    <row r="7" spans="1:6" ht="18.75" customHeight="1">
      <c r="A7" s="12">
        <v>3</v>
      </c>
      <c r="B7" s="13" t="str">
        <f>'SMA PIPB'!B13</f>
        <v>Muhammad Idham</v>
      </c>
      <c r="C7" s="17">
        <f>'SMA PIPB'!Y13</f>
        <v>1080000</v>
      </c>
      <c r="D7" s="17">
        <f>'SMA PIPB'!AN13</f>
        <v>736000</v>
      </c>
      <c r="E7" s="17">
        <f>'SMA PIPB'!AW13</f>
        <v>0</v>
      </c>
      <c r="F7" s="19">
        <f>'SMA PIPB'!AY13</f>
        <v>1816000</v>
      </c>
    </row>
    <row r="8" spans="1:6" ht="18.75" customHeight="1">
      <c r="A8" s="12">
        <v>4</v>
      </c>
      <c r="B8" s="13">
        <f>'SMA PIPB'!B14</f>
        <v>0</v>
      </c>
      <c r="C8" s="17">
        <f>'SMA PIPB'!Y14</f>
        <v>0</v>
      </c>
      <c r="D8" s="17">
        <f>'SMA PIPB'!AN14</f>
        <v>0</v>
      </c>
      <c r="E8" s="17">
        <f>'SMA PIPB'!AW14</f>
        <v>0</v>
      </c>
      <c r="F8" s="19">
        <f>'SMA PIPB'!AY14</f>
        <v>0</v>
      </c>
    </row>
    <row r="9" spans="1:6" ht="18.75" customHeight="1">
      <c r="A9" s="12">
        <v>5</v>
      </c>
      <c r="B9" s="13">
        <f>'SMA PIPB'!B15</f>
        <v>0</v>
      </c>
      <c r="C9" s="17">
        <f>'SMA PIPB'!Y15</f>
        <v>0</v>
      </c>
      <c r="D9" s="17">
        <f>'SMA PIPB'!AN15</f>
        <v>0</v>
      </c>
      <c r="E9" s="17">
        <f>'SMA PIPB'!AW15</f>
        <v>0</v>
      </c>
      <c r="F9" s="19">
        <f>'SMA PIPB'!AY15</f>
        <v>0</v>
      </c>
    </row>
    <row r="10" spans="1:6" ht="18.75" customHeight="1">
      <c r="A10" s="12">
        <v>6</v>
      </c>
      <c r="B10" s="13">
        <f>'SMA PIPB'!B16</f>
        <v>0</v>
      </c>
      <c r="C10" s="17">
        <f>'SMA PIPB'!Y16</f>
        <v>0</v>
      </c>
      <c r="D10" s="17">
        <f>'SMA PIPB'!AN16</f>
        <v>0</v>
      </c>
      <c r="E10" s="17">
        <f>'SMA PIPB'!AW16</f>
        <v>0</v>
      </c>
      <c r="F10" s="19">
        <f>'SMA PIPB'!AY16</f>
        <v>0</v>
      </c>
    </row>
    <row r="11" spans="1:6" ht="18.75" customHeight="1">
      <c r="A11" s="12">
        <v>7</v>
      </c>
      <c r="B11" s="13">
        <f>'SMA PIPB'!B17</f>
        <v>0</v>
      </c>
      <c r="C11" s="17">
        <f>'SMA PIPB'!Y17</f>
        <v>0</v>
      </c>
      <c r="D11" s="17">
        <f>'SMA PIPB'!AN17</f>
        <v>0</v>
      </c>
      <c r="E11" s="17">
        <f>'SMA PIPB'!AW17</f>
        <v>0</v>
      </c>
      <c r="F11" s="19">
        <f>'SMA PIPB'!AY17</f>
        <v>0</v>
      </c>
    </row>
    <row r="12" spans="1:6" ht="18.75" customHeight="1">
      <c r="A12" s="12">
        <v>8</v>
      </c>
      <c r="B12" s="13">
        <f>'SMA PIPB'!B18</f>
        <v>0</v>
      </c>
      <c r="C12" s="17">
        <f>'SMA PIPB'!Y18</f>
        <v>0</v>
      </c>
      <c r="D12" s="17">
        <f>'SMA PIPB'!AN18</f>
        <v>0</v>
      </c>
      <c r="E12" s="17">
        <f>'SMA PIPB'!AW18</f>
        <v>0</v>
      </c>
      <c r="F12" s="19">
        <f>'SMA PIPB'!AY18</f>
        <v>0</v>
      </c>
    </row>
    <row r="13" spans="1:6">
      <c r="A13" s="286" t="s">
        <v>32</v>
      </c>
      <c r="B13" s="286"/>
      <c r="C13" s="286"/>
      <c r="D13" s="286"/>
      <c r="E13" s="286"/>
      <c r="F13" s="18">
        <f>SUM(F5:F12)</f>
        <v>6318000</v>
      </c>
    </row>
  </sheetData>
  <mergeCells count="4">
    <mergeCell ref="A1:F1"/>
    <mergeCell ref="A2:F2"/>
    <mergeCell ref="A3:F3"/>
    <mergeCell ref="A13:E13"/>
  </mergeCells>
  <pageMargins left="0.7" right="0.7" top="0.75" bottom="0.75" header="0.3" footer="0.3"/>
  <pageSetup paperSize="1000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3FD12-CD6D-4B7C-B98D-208F2704F805}">
  <sheetPr>
    <tabColor theme="6" tint="0.59999389629810485"/>
  </sheetPr>
  <dimension ref="A1:AH88"/>
  <sheetViews>
    <sheetView showGridLines="0" zoomScale="67" zoomScaleNormal="56" workbookViewId="0">
      <pane xSplit="2" ySplit="7" topLeftCell="C10" activePane="bottomRight" state="frozen"/>
      <selection pane="topRight"/>
      <selection pane="bottomLeft"/>
      <selection pane="bottomRight" activeCell="G15" sqref="G15"/>
    </sheetView>
  </sheetViews>
  <sheetFormatPr defaultColWidth="9.1796875" defaultRowHeight="11.5"/>
  <cols>
    <col min="1" max="1" width="4.453125" style="126" customWidth="1"/>
    <col min="2" max="2" width="29.7265625" style="126" customWidth="1"/>
    <col min="3" max="3" width="11.54296875" style="126" customWidth="1"/>
    <col min="4" max="4" width="21.54296875" style="127" bestFit="1" customWidth="1"/>
    <col min="5" max="5" width="13.26953125" style="127" bestFit="1" customWidth="1"/>
    <col min="6" max="6" width="21" style="127" bestFit="1" customWidth="1"/>
    <col min="7" max="7" width="20.54296875" style="126" customWidth="1"/>
    <col min="8" max="8" width="17.7265625" style="126" customWidth="1"/>
    <col min="9" max="9" width="14.7265625" style="126" bestFit="1" customWidth="1"/>
    <col min="10" max="10" width="19.453125" style="128" customWidth="1"/>
    <col min="11" max="11" width="23.54296875" style="126" customWidth="1"/>
    <col min="12" max="12" width="19.26953125" style="128" customWidth="1"/>
    <col min="13" max="13" width="20" style="128" bestFit="1" customWidth="1"/>
    <col min="14" max="14" width="21" style="128" bestFit="1" customWidth="1"/>
    <col min="15" max="15" width="25" style="126" customWidth="1"/>
    <col min="16" max="17" width="25.453125" style="128" customWidth="1"/>
    <col min="18" max="18" width="15" style="128" customWidth="1"/>
    <col min="19" max="19" width="22.7265625" style="126" customWidth="1"/>
    <col min="20" max="20" width="16.1796875" style="126" customWidth="1"/>
    <col min="21" max="24" width="15.26953125" style="126" customWidth="1"/>
    <col min="25" max="25" width="26.453125" style="126" customWidth="1"/>
    <col min="26" max="26" width="26.1796875" style="126" customWidth="1"/>
    <col min="27" max="27" width="21.453125" style="128" customWidth="1"/>
    <col min="28" max="29" width="21.453125" style="126" customWidth="1"/>
    <col min="30" max="30" width="29.81640625" style="126" customWidth="1"/>
    <col min="31" max="31" width="27" style="126" customWidth="1"/>
    <col min="32" max="32" width="24.7265625" style="126" customWidth="1"/>
    <col min="33" max="33" width="22.1796875" style="126" customWidth="1"/>
    <col min="34" max="34" width="29.26953125" style="126" customWidth="1"/>
    <col min="35" max="35" width="9.1796875" style="126"/>
    <col min="36" max="111" width="4.7265625" style="126" customWidth="1"/>
    <col min="112" max="16384" width="9.1796875" style="126"/>
  </cols>
  <sheetData>
    <row r="1" spans="1:34" s="120" customFormat="1" ht="18">
      <c r="A1" s="116" t="s">
        <v>90</v>
      </c>
      <c r="B1" s="117"/>
      <c r="C1" s="117"/>
      <c r="D1" s="118"/>
      <c r="E1" s="118"/>
      <c r="F1" s="118"/>
      <c r="G1" s="119"/>
      <c r="H1" s="119"/>
      <c r="I1" s="119"/>
      <c r="J1" s="117"/>
      <c r="L1" s="121"/>
      <c r="M1" s="121"/>
      <c r="N1" s="121"/>
      <c r="P1" s="121"/>
      <c r="Q1" s="121"/>
      <c r="R1" s="121"/>
      <c r="AA1" s="121"/>
    </row>
    <row r="2" spans="1:34" s="120" customFormat="1" ht="18">
      <c r="A2" s="122" t="s">
        <v>91</v>
      </c>
      <c r="B2" s="117"/>
      <c r="C2" s="117"/>
      <c r="D2" s="118"/>
      <c r="E2" s="118"/>
      <c r="F2" s="118"/>
      <c r="G2" s="119"/>
      <c r="H2" s="119"/>
      <c r="I2" s="119"/>
      <c r="J2" s="117"/>
      <c r="L2" s="121"/>
      <c r="M2" s="121"/>
      <c r="N2" s="121"/>
      <c r="P2" s="121"/>
      <c r="Q2" s="121"/>
      <c r="R2" s="121"/>
      <c r="AA2" s="121"/>
    </row>
    <row r="3" spans="1:34" s="120" customFormat="1" ht="18">
      <c r="A3" s="122" t="s">
        <v>341</v>
      </c>
      <c r="B3" s="117"/>
      <c r="C3" s="117"/>
      <c r="D3" s="118"/>
      <c r="E3" s="118"/>
      <c r="F3" s="118"/>
      <c r="G3" s="119"/>
      <c r="H3" s="119"/>
      <c r="I3" s="119"/>
      <c r="J3" s="117"/>
      <c r="L3" s="121"/>
      <c r="M3" s="121"/>
      <c r="N3" s="121"/>
      <c r="P3" s="121"/>
      <c r="Q3" s="121"/>
      <c r="R3" s="121"/>
      <c r="AA3" s="121"/>
    </row>
    <row r="4" spans="1:34" s="120" customFormat="1" ht="18">
      <c r="A4" s="123" t="s">
        <v>88</v>
      </c>
      <c r="B4" s="124"/>
      <c r="C4" s="124"/>
      <c r="D4" s="125"/>
      <c r="E4" s="125"/>
      <c r="F4" s="125"/>
      <c r="G4" s="124"/>
      <c r="H4" s="124"/>
      <c r="I4" s="124"/>
      <c r="J4" s="121"/>
      <c r="L4" s="121"/>
      <c r="M4" s="121"/>
      <c r="N4" s="121"/>
      <c r="P4" s="121"/>
      <c r="Q4" s="121"/>
      <c r="R4" s="121"/>
      <c r="AA4" s="121"/>
    </row>
    <row r="5" spans="1:34" ht="16" thickBot="1">
      <c r="A5" s="123"/>
    </row>
    <row r="6" spans="1:34" ht="20.25" customHeight="1" thickTop="1" thickBot="1">
      <c r="A6" s="184" t="s">
        <v>31</v>
      </c>
      <c r="B6" s="184" t="s">
        <v>38</v>
      </c>
      <c r="C6" s="184" t="s">
        <v>94</v>
      </c>
      <c r="D6" s="185" t="s">
        <v>95</v>
      </c>
      <c r="E6" s="185" t="s">
        <v>96</v>
      </c>
      <c r="F6" s="185" t="s">
        <v>97</v>
      </c>
      <c r="G6" s="184" t="s">
        <v>98</v>
      </c>
      <c r="H6" s="184" t="s">
        <v>99</v>
      </c>
      <c r="I6" s="184" t="s">
        <v>100</v>
      </c>
      <c r="J6" s="184" t="s">
        <v>101</v>
      </c>
      <c r="K6" s="184" t="s">
        <v>102</v>
      </c>
      <c r="L6" s="184" t="s">
        <v>103</v>
      </c>
      <c r="M6" s="184" t="s">
        <v>104</v>
      </c>
      <c r="N6" s="184" t="s">
        <v>105</v>
      </c>
      <c r="O6" s="184" t="s">
        <v>106</v>
      </c>
      <c r="P6" s="184" t="s">
        <v>107</v>
      </c>
      <c r="Q6" s="184" t="s">
        <v>108</v>
      </c>
      <c r="R6" s="184" t="s">
        <v>109</v>
      </c>
      <c r="S6" s="184" t="s">
        <v>110</v>
      </c>
      <c r="T6" s="184" t="s">
        <v>111</v>
      </c>
      <c r="U6" s="184" t="s">
        <v>112</v>
      </c>
      <c r="V6" s="184" t="s">
        <v>113</v>
      </c>
      <c r="W6" s="184" t="s">
        <v>114</v>
      </c>
      <c r="X6" s="186" t="s">
        <v>115</v>
      </c>
      <c r="Y6" s="184" t="s">
        <v>116</v>
      </c>
      <c r="Z6" s="184"/>
      <c r="AA6" s="184" t="s">
        <v>117</v>
      </c>
      <c r="AB6" s="184" t="s">
        <v>118</v>
      </c>
      <c r="AC6" s="184" t="s">
        <v>119</v>
      </c>
      <c r="AD6" s="184" t="s">
        <v>120</v>
      </c>
      <c r="AE6" s="184" t="s">
        <v>121</v>
      </c>
      <c r="AF6" s="184" t="s">
        <v>122</v>
      </c>
      <c r="AG6" s="186" t="s">
        <v>123</v>
      </c>
      <c r="AH6" s="184" t="s">
        <v>124</v>
      </c>
    </row>
    <row r="7" spans="1:34" ht="27.75" customHeight="1" thickTop="1" thickBot="1">
      <c r="A7" s="184"/>
      <c r="B7" s="184"/>
      <c r="C7" s="186"/>
      <c r="D7" s="185"/>
      <c r="E7" s="185"/>
      <c r="F7" s="185"/>
      <c r="G7" s="184"/>
      <c r="H7" s="184"/>
      <c r="I7" s="184"/>
      <c r="J7" s="184"/>
      <c r="K7" s="184"/>
      <c r="L7" s="184"/>
      <c r="M7" s="184"/>
      <c r="N7" s="184"/>
      <c r="O7" s="184"/>
      <c r="P7" s="186"/>
      <c r="Q7" s="184"/>
      <c r="R7" s="184"/>
      <c r="S7" s="184"/>
      <c r="T7" s="184"/>
      <c r="U7" s="184"/>
      <c r="V7" s="184"/>
      <c r="W7" s="184"/>
      <c r="X7" s="187"/>
      <c r="Y7" s="129" t="s">
        <v>125</v>
      </c>
      <c r="Z7" s="129" t="s">
        <v>126</v>
      </c>
      <c r="AA7" s="184"/>
      <c r="AB7" s="184"/>
      <c r="AC7" s="184"/>
      <c r="AD7" s="184"/>
      <c r="AE7" s="184"/>
      <c r="AF7" s="184"/>
      <c r="AG7" s="187"/>
      <c r="AH7" s="184"/>
    </row>
    <row r="8" spans="1:34" ht="30.65" customHeight="1" thickTop="1">
      <c r="A8" s="130">
        <v>1</v>
      </c>
      <c r="B8" s="145" t="s">
        <v>342</v>
      </c>
      <c r="C8" s="146" t="s">
        <v>343</v>
      </c>
      <c r="D8" s="136">
        <v>43101</v>
      </c>
      <c r="E8" s="134">
        <f t="shared" ref="E8:E18" ca="1" si="0">TODAY()</f>
        <v>46244</v>
      </c>
      <c r="F8" s="134" t="str">
        <f ca="1">DATEDIF(D8,E8,"y")&amp;" "&amp;"Tahun"&amp;" "&amp;DATEDIF(D8,E8,"ym")&amp;" "&amp;"Bulan"&amp;" "&amp;DATEDIF(D8,E8,"md")&amp;" "&amp;"Hari"</f>
        <v>8 Tahun 7 Bulan 9 Hari</v>
      </c>
      <c r="G8" s="132" t="s">
        <v>129</v>
      </c>
      <c r="H8" s="132"/>
      <c r="I8" s="132"/>
      <c r="J8" s="132" t="s">
        <v>344</v>
      </c>
      <c r="K8" s="135" t="s">
        <v>345</v>
      </c>
      <c r="L8" s="132" t="s">
        <v>263</v>
      </c>
      <c r="M8" s="136">
        <v>33083</v>
      </c>
      <c r="N8" s="134" t="str">
        <f ca="1">DATEDIF(M8,E8,"y")&amp;" "&amp;"Tahun"&amp;" "&amp;DATEDIF(M8,E8,"ym")&amp;" "&amp;"Bulan"&amp;" "&amp;DATEDIF(M8,E8,"md")&amp;" "&amp;"Hari"</f>
        <v>36 Tahun 0 Bulan 12 Hari</v>
      </c>
      <c r="O8" s="137"/>
      <c r="P8" s="132">
        <v>0</v>
      </c>
      <c r="Q8" s="132"/>
      <c r="R8" s="138" t="s">
        <v>274</v>
      </c>
      <c r="S8" s="132"/>
      <c r="T8" s="139" t="s">
        <v>135</v>
      </c>
      <c r="U8" s="139"/>
      <c r="V8" s="132" t="s">
        <v>137</v>
      </c>
      <c r="W8" s="132">
        <v>0</v>
      </c>
      <c r="X8" s="132">
        <v>2</v>
      </c>
      <c r="Y8" s="132"/>
      <c r="Z8" s="132"/>
      <c r="AA8" s="132"/>
      <c r="AB8" s="132">
        <v>0</v>
      </c>
      <c r="AC8" s="132">
        <v>0</v>
      </c>
      <c r="AD8" s="132">
        <v>0</v>
      </c>
      <c r="AE8" s="132">
        <v>0</v>
      </c>
      <c r="AF8" s="132">
        <v>0</v>
      </c>
      <c r="AG8" s="132">
        <v>0</v>
      </c>
      <c r="AH8" s="140"/>
    </row>
    <row r="9" spans="1:34" ht="30.65" customHeight="1">
      <c r="A9" s="141">
        <v>2</v>
      </c>
      <c r="B9" s="145" t="s">
        <v>346</v>
      </c>
      <c r="C9" s="146" t="s">
        <v>343</v>
      </c>
      <c r="D9" s="136">
        <v>45839</v>
      </c>
      <c r="E9" s="134">
        <f t="shared" ca="1" si="0"/>
        <v>46244</v>
      </c>
      <c r="F9" s="134" t="str">
        <f t="shared" ref="F9:F18" ca="1" si="1">DATEDIF(D9,E9,"y")&amp;" "&amp;"Tahun"&amp;" "&amp;DATEDIF(D9,E9,"ym")&amp;" "&amp;"Bulan"&amp;" "&amp;DATEDIF(D9,E9,"md")&amp;" "&amp;"Hari"</f>
        <v>1 Tahun 1 Bulan 9 Hari</v>
      </c>
      <c r="G9" s="132" t="s">
        <v>129</v>
      </c>
      <c r="H9" s="132"/>
      <c r="I9" s="132"/>
      <c r="J9" s="132" t="s">
        <v>347</v>
      </c>
      <c r="K9" s="135" t="s">
        <v>378</v>
      </c>
      <c r="L9" s="132" t="s">
        <v>376</v>
      </c>
      <c r="M9" s="143">
        <v>29736</v>
      </c>
      <c r="N9" s="134" t="str">
        <f ca="1">DATEDIF(M9,E9,"y")&amp;" "&amp;"Tahun"&amp;" "&amp;DATEDIF(M9,E9,"ym")&amp;" "&amp;"Bulan"&amp;" "&amp;DATEDIF(M9,E9,"md")&amp;" "&amp;"Hari"</f>
        <v>45 Tahun 2 Bulan 11 Hari</v>
      </c>
      <c r="O9" s="137"/>
      <c r="P9" s="132">
        <v>0</v>
      </c>
      <c r="Q9" s="132"/>
      <c r="R9" s="138" t="s">
        <v>274</v>
      </c>
      <c r="S9" s="132"/>
      <c r="T9" s="139" t="s">
        <v>135</v>
      </c>
      <c r="U9" s="139"/>
      <c r="V9" s="132">
        <v>0</v>
      </c>
      <c r="W9" s="132">
        <v>0</v>
      </c>
      <c r="X9" s="132">
        <v>4</v>
      </c>
      <c r="Y9" s="132"/>
      <c r="Z9" s="132">
        <v>0</v>
      </c>
      <c r="AA9" s="132"/>
      <c r="AB9" s="132">
        <v>0</v>
      </c>
      <c r="AC9" s="132">
        <v>0</v>
      </c>
      <c r="AD9" s="132">
        <v>0</v>
      </c>
      <c r="AE9" s="132">
        <v>0</v>
      </c>
      <c r="AF9" s="132">
        <v>0</v>
      </c>
      <c r="AG9" s="132">
        <v>0</v>
      </c>
      <c r="AH9" s="140"/>
    </row>
    <row r="10" spans="1:34" ht="30.65" customHeight="1">
      <c r="A10" s="130">
        <v>3</v>
      </c>
      <c r="B10" s="145" t="s">
        <v>348</v>
      </c>
      <c r="C10" s="146" t="s">
        <v>343</v>
      </c>
      <c r="D10" s="136">
        <v>43466</v>
      </c>
      <c r="E10" s="134">
        <f t="shared" ca="1" si="0"/>
        <v>46244</v>
      </c>
      <c r="F10" s="134" t="str">
        <f t="shared" ca="1" si="1"/>
        <v>7 Tahun 7 Bulan 9 Hari</v>
      </c>
      <c r="G10" s="132" t="s">
        <v>129</v>
      </c>
      <c r="H10" s="132"/>
      <c r="I10" s="132"/>
      <c r="J10" s="132" t="s">
        <v>130</v>
      </c>
      <c r="K10" s="135" t="s">
        <v>377</v>
      </c>
      <c r="L10" s="132" t="s">
        <v>349</v>
      </c>
      <c r="M10" s="143">
        <v>30884</v>
      </c>
      <c r="N10" s="134" t="str">
        <f t="shared" ref="N10:N18" ca="1" si="2">DATEDIF(M10,E10,"y")&amp;" "&amp;"Tahun"&amp;" "&amp;DATEDIF(M10,E10,"ym")&amp;" "&amp;"Bulan"&amp;" "&amp;DATEDIF(M10,E10,"md")&amp;" "&amp;"Hari"</f>
        <v>42 Tahun 0 Bulan 20 Hari</v>
      </c>
      <c r="O10" s="137"/>
      <c r="P10" s="132">
        <v>0</v>
      </c>
      <c r="Q10" s="132"/>
      <c r="R10" s="138" t="s">
        <v>155</v>
      </c>
      <c r="S10" s="132"/>
      <c r="T10" s="139" t="s">
        <v>135</v>
      </c>
      <c r="U10" s="139"/>
      <c r="V10" s="132">
        <v>0</v>
      </c>
      <c r="W10" s="132">
        <v>0</v>
      </c>
      <c r="X10" s="132">
        <v>7</v>
      </c>
      <c r="Y10" s="132"/>
      <c r="Z10" s="132">
        <v>0</v>
      </c>
      <c r="AA10" s="132"/>
      <c r="AB10" s="132">
        <v>0</v>
      </c>
      <c r="AC10" s="132">
        <v>0</v>
      </c>
      <c r="AD10" s="132">
        <v>0</v>
      </c>
      <c r="AE10" s="132">
        <v>0</v>
      </c>
      <c r="AF10" s="132">
        <v>0</v>
      </c>
      <c r="AG10" s="132">
        <v>0</v>
      </c>
      <c r="AH10" s="140"/>
    </row>
    <row r="11" spans="1:34" ht="30.65" customHeight="1">
      <c r="A11" s="141">
        <v>4</v>
      </c>
      <c r="B11" s="145" t="s">
        <v>352</v>
      </c>
      <c r="C11" s="146" t="s">
        <v>128</v>
      </c>
      <c r="D11" s="136">
        <v>44683</v>
      </c>
      <c r="E11" s="134">
        <f t="shared" ca="1" si="0"/>
        <v>46244</v>
      </c>
      <c r="F11" s="134" t="str">
        <f t="shared" ca="1" si="1"/>
        <v>4 Tahun 3 Bulan 8 Hari</v>
      </c>
      <c r="G11" s="132" t="s">
        <v>129</v>
      </c>
      <c r="H11" s="132"/>
      <c r="I11" s="132"/>
      <c r="J11" s="132" t="s">
        <v>353</v>
      </c>
      <c r="K11" s="135" t="s">
        <v>380</v>
      </c>
      <c r="L11" s="132" t="s">
        <v>379</v>
      </c>
      <c r="M11" s="143">
        <v>32265</v>
      </c>
      <c r="N11" s="134" t="str">
        <f t="shared" ca="1" si="2"/>
        <v>38 Tahun 3 Bulan 8 Hari</v>
      </c>
      <c r="O11" s="137"/>
      <c r="P11" s="132">
        <v>0</v>
      </c>
      <c r="Q11" s="132"/>
      <c r="R11" s="138" t="s">
        <v>274</v>
      </c>
      <c r="S11" s="132"/>
      <c r="T11" s="139" t="s">
        <v>135</v>
      </c>
      <c r="U11" s="139"/>
      <c r="V11" s="132">
        <v>0</v>
      </c>
      <c r="W11" s="132">
        <v>0</v>
      </c>
      <c r="X11" s="132">
        <v>4</v>
      </c>
      <c r="Y11" s="132"/>
      <c r="Z11" s="132">
        <v>0</v>
      </c>
      <c r="AA11" s="132"/>
      <c r="AB11" s="132">
        <v>0</v>
      </c>
      <c r="AC11" s="132">
        <v>0</v>
      </c>
      <c r="AD11" s="132">
        <v>0</v>
      </c>
      <c r="AE11" s="132">
        <v>0</v>
      </c>
      <c r="AF11" s="132">
        <v>0</v>
      </c>
      <c r="AG11" s="132">
        <v>0</v>
      </c>
      <c r="AH11" s="140"/>
    </row>
    <row r="12" spans="1:34" ht="30.65" customHeight="1">
      <c r="A12" s="130">
        <v>5</v>
      </c>
      <c r="B12" s="145" t="s">
        <v>355</v>
      </c>
      <c r="C12" s="146" t="s">
        <v>128</v>
      </c>
      <c r="D12" s="136">
        <v>43647</v>
      </c>
      <c r="E12" s="134">
        <f t="shared" ca="1" si="0"/>
        <v>46244</v>
      </c>
      <c r="F12" s="134" t="str">
        <f t="shared" ca="1" si="1"/>
        <v>7 Tahun 1 Bulan 9 Hari</v>
      </c>
      <c r="G12" s="132" t="s">
        <v>129</v>
      </c>
      <c r="H12" s="132"/>
      <c r="I12" s="132"/>
      <c r="J12" s="132" t="s">
        <v>309</v>
      </c>
      <c r="K12" s="135" t="s">
        <v>356</v>
      </c>
      <c r="L12" s="132" t="s">
        <v>357</v>
      </c>
      <c r="M12" s="143">
        <v>37211</v>
      </c>
      <c r="N12" s="134" t="str">
        <f t="shared" ca="1" si="2"/>
        <v>24 Tahun 8 Bulan 25 Hari</v>
      </c>
      <c r="O12" s="137"/>
      <c r="P12" s="132">
        <v>0</v>
      </c>
      <c r="Q12" s="132"/>
      <c r="R12" s="138" t="s">
        <v>133</v>
      </c>
      <c r="S12" s="132"/>
      <c r="T12" s="139" t="s">
        <v>145</v>
      </c>
      <c r="U12" s="139"/>
      <c r="V12" s="132">
        <v>0</v>
      </c>
      <c r="W12" s="132">
        <v>0</v>
      </c>
      <c r="X12" s="132">
        <v>2</v>
      </c>
      <c r="Y12" s="132"/>
      <c r="Z12" s="132">
        <v>0</v>
      </c>
      <c r="AA12" s="132"/>
      <c r="AB12" s="132">
        <v>0</v>
      </c>
      <c r="AC12" s="132">
        <v>0</v>
      </c>
      <c r="AD12" s="132">
        <v>0</v>
      </c>
      <c r="AE12" s="132">
        <v>0</v>
      </c>
      <c r="AF12" s="132">
        <v>0</v>
      </c>
      <c r="AG12" s="132">
        <v>0</v>
      </c>
      <c r="AH12" s="140"/>
    </row>
    <row r="13" spans="1:34" ht="30.65" customHeight="1">
      <c r="A13" s="141">
        <v>6</v>
      </c>
      <c r="B13" s="145" t="s">
        <v>358</v>
      </c>
      <c r="C13" s="146" t="s">
        <v>128</v>
      </c>
      <c r="D13" s="136">
        <v>45536</v>
      </c>
      <c r="E13" s="134">
        <f t="shared" ca="1" si="0"/>
        <v>46244</v>
      </c>
      <c r="F13" s="134" t="str">
        <f t="shared" ca="1" si="1"/>
        <v>1 Tahun 11 Bulan 9 Hari</v>
      </c>
      <c r="G13" s="132" t="s">
        <v>129</v>
      </c>
      <c r="H13" s="132"/>
      <c r="I13" s="132"/>
      <c r="J13" s="132" t="s">
        <v>359</v>
      </c>
      <c r="K13" s="135" t="s">
        <v>360</v>
      </c>
      <c r="L13" s="132" t="s">
        <v>294</v>
      </c>
      <c r="M13" s="143">
        <v>36671</v>
      </c>
      <c r="N13" s="134" t="str">
        <f t="shared" ca="1" si="2"/>
        <v>26 Tahun 2 Bulan 16 Hari</v>
      </c>
      <c r="O13" s="137"/>
      <c r="P13" s="132">
        <v>0</v>
      </c>
      <c r="Q13" s="132"/>
      <c r="R13" s="138" t="s">
        <v>133</v>
      </c>
      <c r="S13" s="132"/>
      <c r="T13" s="139" t="s">
        <v>145</v>
      </c>
      <c r="U13" s="139"/>
      <c r="V13" s="132">
        <v>0</v>
      </c>
      <c r="W13" s="132">
        <v>0</v>
      </c>
      <c r="X13" s="132">
        <v>0</v>
      </c>
      <c r="Y13" s="132"/>
      <c r="Z13" s="132">
        <v>0</v>
      </c>
      <c r="AA13" s="132"/>
      <c r="AB13" s="132">
        <v>0</v>
      </c>
      <c r="AC13" s="132">
        <v>0</v>
      </c>
      <c r="AD13" s="132">
        <v>0</v>
      </c>
      <c r="AE13" s="132">
        <v>0</v>
      </c>
      <c r="AF13" s="132">
        <v>0</v>
      </c>
      <c r="AG13" s="132">
        <v>0</v>
      </c>
      <c r="AH13" s="140"/>
    </row>
    <row r="14" spans="1:34" ht="30.65" customHeight="1">
      <c r="A14" s="130">
        <v>7</v>
      </c>
      <c r="B14" s="145" t="s">
        <v>361</v>
      </c>
      <c r="C14" s="146" t="s">
        <v>128</v>
      </c>
      <c r="D14" s="147">
        <v>45200</v>
      </c>
      <c r="E14" s="134">
        <f t="shared" ca="1" si="0"/>
        <v>46244</v>
      </c>
      <c r="F14" s="134" t="str">
        <f t="shared" ca="1" si="1"/>
        <v>2 Tahun 10 Bulan 9 Hari</v>
      </c>
      <c r="G14" s="132" t="s">
        <v>129</v>
      </c>
      <c r="H14" s="132"/>
      <c r="I14" s="132"/>
      <c r="J14" s="132" t="s">
        <v>309</v>
      </c>
      <c r="K14" s="135" t="s">
        <v>337</v>
      </c>
      <c r="L14" s="132" t="s">
        <v>362</v>
      </c>
      <c r="M14" s="143">
        <v>34619</v>
      </c>
      <c r="N14" s="134" t="str">
        <f t="shared" ca="1" si="2"/>
        <v>31 Tahun 9 Bulan 29 Hari</v>
      </c>
      <c r="O14" s="137"/>
      <c r="P14" s="132">
        <v>0</v>
      </c>
      <c r="Q14" s="132"/>
      <c r="R14" s="138" t="s">
        <v>133</v>
      </c>
      <c r="S14" s="132"/>
      <c r="T14" s="139" t="s">
        <v>135</v>
      </c>
      <c r="U14" s="139"/>
      <c r="V14" s="132">
        <v>0</v>
      </c>
      <c r="W14" s="132">
        <v>0</v>
      </c>
      <c r="X14" s="132">
        <v>4</v>
      </c>
      <c r="Y14" s="132"/>
      <c r="Z14" s="132">
        <v>0</v>
      </c>
      <c r="AA14" s="132"/>
      <c r="AB14" s="132">
        <v>0</v>
      </c>
      <c r="AC14" s="132">
        <v>0</v>
      </c>
      <c r="AD14" s="132">
        <v>0</v>
      </c>
      <c r="AE14" s="132">
        <v>0</v>
      </c>
      <c r="AF14" s="132">
        <v>0</v>
      </c>
      <c r="AG14" s="132">
        <v>0</v>
      </c>
      <c r="AH14" s="140"/>
    </row>
    <row r="15" spans="1:34" ht="30.65" customHeight="1">
      <c r="A15" s="141">
        <v>8</v>
      </c>
      <c r="B15" s="145" t="s">
        <v>363</v>
      </c>
      <c r="C15" s="146" t="s">
        <v>128</v>
      </c>
      <c r="D15" s="147">
        <v>45658</v>
      </c>
      <c r="E15" s="134">
        <f t="shared" ca="1" si="0"/>
        <v>46244</v>
      </c>
      <c r="F15" s="134" t="str">
        <f t="shared" ca="1" si="1"/>
        <v>1 Tahun 7 Bulan 9 Hari</v>
      </c>
      <c r="G15" s="132" t="s">
        <v>204</v>
      </c>
      <c r="H15" s="132"/>
      <c r="I15" s="132"/>
      <c r="J15" s="132" t="s">
        <v>309</v>
      </c>
      <c r="K15" s="135" t="s">
        <v>364</v>
      </c>
      <c r="L15" s="132" t="s">
        <v>242</v>
      </c>
      <c r="M15" s="143">
        <v>34041</v>
      </c>
      <c r="N15" s="134" t="str">
        <f t="shared" ca="1" si="2"/>
        <v>33 Tahun 4 Bulan 28 Hari</v>
      </c>
      <c r="O15" s="137"/>
      <c r="P15" s="132"/>
      <c r="Q15" s="132"/>
      <c r="R15" s="138" t="s">
        <v>133</v>
      </c>
      <c r="S15" s="132"/>
      <c r="T15" s="139" t="s">
        <v>145</v>
      </c>
      <c r="U15" s="139"/>
      <c r="V15" s="132"/>
      <c r="W15" s="132"/>
      <c r="X15" s="132">
        <v>0</v>
      </c>
      <c r="Y15" s="132"/>
      <c r="Z15" s="132"/>
      <c r="AA15" s="132"/>
      <c r="AB15" s="132"/>
      <c r="AC15" s="132"/>
      <c r="AD15" s="132"/>
      <c r="AE15" s="132"/>
      <c r="AF15" s="132"/>
      <c r="AG15" s="132"/>
      <c r="AH15" s="140"/>
    </row>
    <row r="16" spans="1:34" ht="30.65" customHeight="1">
      <c r="A16" s="130">
        <v>9</v>
      </c>
      <c r="B16" s="145" t="s">
        <v>365</v>
      </c>
      <c r="C16" s="146" t="s">
        <v>128</v>
      </c>
      <c r="D16" s="147">
        <v>46204</v>
      </c>
      <c r="E16" s="134">
        <f t="shared" ca="1" si="0"/>
        <v>46244</v>
      </c>
      <c r="F16" s="134" t="str">
        <f t="shared" ca="1" si="1"/>
        <v>0 Tahun 1 Bulan 9 Hari</v>
      </c>
      <c r="G16" s="132" t="s">
        <v>204</v>
      </c>
      <c r="H16" s="132"/>
      <c r="I16" s="132"/>
      <c r="J16" s="132" t="s">
        <v>336</v>
      </c>
      <c r="K16" s="135"/>
      <c r="L16" s="132" t="s">
        <v>381</v>
      </c>
      <c r="M16" s="143">
        <v>39645</v>
      </c>
      <c r="N16" s="134" t="str">
        <f t="shared" ca="1" si="2"/>
        <v>18 Tahun 0 Bulan 25 Hari</v>
      </c>
      <c r="O16" s="137"/>
      <c r="P16" s="132"/>
      <c r="Q16" s="132"/>
      <c r="R16" s="138" t="s">
        <v>155</v>
      </c>
      <c r="S16" s="132"/>
      <c r="T16" s="139" t="s">
        <v>145</v>
      </c>
      <c r="U16" s="139"/>
      <c r="V16" s="132"/>
      <c r="W16" s="132"/>
      <c r="X16" s="132">
        <v>0</v>
      </c>
      <c r="Y16" s="132"/>
      <c r="Z16" s="132"/>
      <c r="AA16" s="132"/>
      <c r="AB16" s="132"/>
      <c r="AC16" s="132"/>
      <c r="AD16" s="132"/>
      <c r="AE16" s="132"/>
      <c r="AF16" s="132"/>
      <c r="AG16" s="132"/>
      <c r="AH16" s="140"/>
    </row>
    <row r="17" spans="1:34" ht="30.65" customHeight="1">
      <c r="A17" s="141">
        <v>10</v>
      </c>
      <c r="B17" s="145" t="s">
        <v>366</v>
      </c>
      <c r="C17" s="146" t="s">
        <v>128</v>
      </c>
      <c r="D17" s="147">
        <v>46204</v>
      </c>
      <c r="E17" s="134">
        <f t="shared" ca="1" si="0"/>
        <v>46244</v>
      </c>
      <c r="F17" s="134" t="str">
        <f t="shared" ca="1" si="1"/>
        <v>0 Tahun 1 Bulan 9 Hari</v>
      </c>
      <c r="G17" s="132" t="s">
        <v>204</v>
      </c>
      <c r="H17" s="132"/>
      <c r="I17" s="132"/>
      <c r="J17" s="132" t="s">
        <v>336</v>
      </c>
      <c r="K17" s="135"/>
      <c r="L17" s="132" t="s">
        <v>175</v>
      </c>
      <c r="M17" s="143">
        <v>39515</v>
      </c>
      <c r="N17" s="134" t="str">
        <f t="shared" ca="1" si="2"/>
        <v>18 Tahun 5 Bulan 2 Hari</v>
      </c>
      <c r="O17" s="137"/>
      <c r="P17" s="132"/>
      <c r="Q17" s="132"/>
      <c r="R17" s="138" t="s">
        <v>155</v>
      </c>
      <c r="S17" s="132"/>
      <c r="T17" s="139" t="s">
        <v>145</v>
      </c>
      <c r="U17" s="139"/>
      <c r="V17" s="132"/>
      <c r="W17" s="132"/>
      <c r="X17" s="132">
        <v>0</v>
      </c>
      <c r="Y17" s="132"/>
      <c r="Z17" s="132"/>
      <c r="AA17" s="132"/>
      <c r="AB17" s="132"/>
      <c r="AC17" s="132"/>
      <c r="AD17" s="132"/>
      <c r="AE17" s="132"/>
      <c r="AF17" s="132"/>
      <c r="AG17" s="132"/>
      <c r="AH17" s="140"/>
    </row>
    <row r="18" spans="1:34" ht="30.65" customHeight="1">
      <c r="A18" s="130">
        <v>11</v>
      </c>
      <c r="B18" s="145" t="s">
        <v>374</v>
      </c>
      <c r="C18" s="146" t="s">
        <v>128</v>
      </c>
      <c r="D18" s="147">
        <v>46204</v>
      </c>
      <c r="E18" s="134">
        <f t="shared" ca="1" si="0"/>
        <v>46244</v>
      </c>
      <c r="F18" s="134" t="str">
        <f t="shared" ca="1" si="1"/>
        <v>0 Tahun 1 Bulan 9 Hari</v>
      </c>
      <c r="G18" s="132" t="s">
        <v>204</v>
      </c>
      <c r="H18" s="132"/>
      <c r="I18" s="132"/>
      <c r="J18" s="132" t="s">
        <v>336</v>
      </c>
      <c r="K18" s="135"/>
      <c r="L18" s="132" t="s">
        <v>375</v>
      </c>
      <c r="M18" s="143">
        <v>31277</v>
      </c>
      <c r="N18" s="134" t="str">
        <f t="shared" ca="1" si="2"/>
        <v>40 Tahun 11 Bulan 23 Hari</v>
      </c>
      <c r="O18" s="137"/>
      <c r="P18" s="132"/>
      <c r="Q18" s="132"/>
      <c r="R18" s="138" t="s">
        <v>133</v>
      </c>
      <c r="S18" s="132"/>
      <c r="T18" s="139" t="s">
        <v>145</v>
      </c>
      <c r="U18" s="139"/>
      <c r="V18" s="132"/>
      <c r="W18" s="132"/>
      <c r="X18" s="132">
        <v>4</v>
      </c>
      <c r="Y18" s="132"/>
      <c r="Z18" s="132"/>
      <c r="AA18" s="132"/>
      <c r="AB18" s="132"/>
      <c r="AC18" s="132"/>
      <c r="AD18" s="132"/>
      <c r="AE18" s="132"/>
      <c r="AF18" s="132"/>
      <c r="AG18" s="132"/>
      <c r="AH18" s="140"/>
    </row>
    <row r="19" spans="1:34" ht="20.149999999999999" customHeight="1"/>
    <row r="20" spans="1:34" ht="20.149999999999999" customHeight="1"/>
    <row r="21" spans="1:34" ht="20.149999999999999" customHeight="1"/>
    <row r="22" spans="1:34" ht="20.149999999999999" customHeight="1"/>
    <row r="23" spans="1:34" ht="20.149999999999999" customHeight="1"/>
    <row r="24" spans="1:34" ht="20.149999999999999" customHeight="1"/>
    <row r="25" spans="1:34" ht="20.149999999999999" customHeight="1"/>
    <row r="26" spans="1:34" ht="20.149999999999999" customHeight="1"/>
    <row r="27" spans="1:34" ht="20.149999999999999" customHeight="1"/>
    <row r="28" spans="1:34" ht="20.149999999999999" customHeight="1"/>
    <row r="29" spans="1:34" ht="20.149999999999999" customHeight="1"/>
    <row r="30" spans="1:34" ht="20.149999999999999" customHeight="1"/>
    <row r="31" spans="1:34" ht="20.149999999999999" customHeight="1"/>
    <row r="32" spans="1:34" ht="20.149999999999999" customHeight="1"/>
    <row r="33" ht="20.149999999999999" customHeight="1"/>
    <row r="34" ht="20.149999999999999" customHeight="1"/>
    <row r="35" ht="20.149999999999999" customHeight="1"/>
    <row r="36" ht="20.149999999999999" customHeight="1"/>
    <row r="37" ht="20.149999999999999" customHeight="1"/>
    <row r="38" ht="20.149999999999999" customHeight="1"/>
    <row r="39" ht="20.149999999999999" customHeight="1"/>
    <row r="40" ht="20.149999999999999" customHeight="1"/>
    <row r="41" ht="20.149999999999999" customHeight="1"/>
    <row r="42" ht="20.149999999999999" customHeight="1"/>
    <row r="43" ht="20.149999999999999" customHeight="1"/>
    <row r="44" ht="20.149999999999999" customHeight="1"/>
    <row r="45" ht="20.149999999999999" customHeight="1"/>
    <row r="46" ht="20.149999999999999" customHeight="1"/>
    <row r="47" ht="20.149999999999999" customHeight="1"/>
    <row r="48" ht="20.149999999999999" customHeight="1"/>
    <row r="49" ht="20.149999999999999" customHeight="1"/>
    <row r="50" ht="20.149999999999999" customHeight="1"/>
    <row r="51" ht="20.149999999999999" customHeight="1"/>
    <row r="52" ht="20.149999999999999" customHeight="1"/>
    <row r="53" ht="20.149999999999999" customHeight="1"/>
    <row r="54" ht="20.149999999999999" customHeight="1"/>
    <row r="55" ht="20.149999999999999" customHeight="1"/>
    <row r="56" ht="20.149999999999999" customHeight="1"/>
    <row r="57" ht="20.149999999999999" customHeight="1"/>
    <row r="58" ht="20.149999999999999" customHeight="1"/>
    <row r="59" ht="20.149999999999999" customHeight="1"/>
    <row r="60" ht="20.149999999999999" customHeight="1"/>
    <row r="61" ht="20.149999999999999" customHeight="1"/>
    <row r="62" ht="20.149999999999999" customHeight="1"/>
    <row r="63" ht="20.149999999999999" customHeight="1"/>
    <row r="64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  <row r="70" ht="20.149999999999999" customHeight="1"/>
    <row r="71" ht="20.149999999999999" customHeight="1"/>
    <row r="72" ht="20.149999999999999" customHeight="1"/>
    <row r="73" ht="20.149999999999999" customHeight="1"/>
    <row r="74" ht="20.149999999999999" customHeight="1"/>
    <row r="75" ht="20.149999999999999" customHeight="1"/>
    <row r="76" ht="20.149999999999999" customHeight="1"/>
    <row r="77" ht="20.149999999999999" customHeight="1"/>
    <row r="78" ht="20.149999999999999" customHeight="1"/>
    <row r="79" ht="20.149999999999999" customHeight="1"/>
    <row r="80" ht="20.149999999999999" customHeight="1"/>
    <row r="81" ht="20.149999999999999" customHeight="1"/>
    <row r="82" ht="20.149999999999999" customHeight="1"/>
    <row r="83" ht="20.149999999999999" customHeight="1"/>
    <row r="84" ht="20.149999999999999" customHeight="1"/>
    <row r="85" ht="20.149999999999999" customHeight="1"/>
    <row r="86" ht="20.149999999999999" customHeight="1"/>
    <row r="87" ht="20.149999999999999" customHeight="1"/>
    <row r="88" ht="20.149999999999999" customHeight="1"/>
  </sheetData>
  <autoFilter ref="A6:AH14" xr:uid="{00000000-0009-0000-0000-000000000000}">
    <sortState xmlns:xlrd2="http://schemas.microsoft.com/office/spreadsheetml/2017/richdata2" ref="A6:AH14">
      <sortCondition ref="D6:D14"/>
    </sortState>
  </autoFilter>
  <mergeCells count="33">
    <mergeCell ref="AF6:AF7"/>
    <mergeCell ref="AG6:AG7"/>
    <mergeCell ref="AH6:AH7"/>
    <mergeCell ref="Y6:Z6"/>
    <mergeCell ref="AA6:AA7"/>
    <mergeCell ref="AB6:AB7"/>
    <mergeCell ref="AC6:AC7"/>
    <mergeCell ref="AD6:AD7"/>
    <mergeCell ref="AE6:AE7"/>
    <mergeCell ref="X6:X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L6:L7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</mergeCells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C6CAB-556A-403E-B8B7-9B29099F4C71}">
  <dimension ref="A1:AY39"/>
  <sheetViews>
    <sheetView view="pageBreakPreview" zoomScale="89" zoomScaleNormal="100" zoomScaleSheetLayoutView="89" workbookViewId="0">
      <pane xSplit="3" ySplit="7" topLeftCell="Z8" activePane="bottomRight" state="frozen"/>
      <selection pane="topRight" activeCell="D1" sqref="D1"/>
      <selection pane="bottomLeft" activeCell="A8" sqref="A8"/>
      <selection pane="bottomRight" activeCell="R12" sqref="R12"/>
    </sheetView>
  </sheetViews>
  <sheetFormatPr defaultColWidth="9.1796875" defaultRowHeight="14"/>
  <cols>
    <col min="1" max="1" width="3.81640625" style="58" customWidth="1"/>
    <col min="2" max="2" width="33.1796875" style="58" customWidth="1"/>
    <col min="3" max="3" width="21.54296875" style="58" customWidth="1"/>
    <col min="4" max="4" width="5.81640625" style="58" customWidth="1"/>
    <col min="5" max="13" width="5" style="58" customWidth="1"/>
    <col min="14" max="14" width="12" style="58" customWidth="1"/>
    <col min="15" max="17" width="5" style="58" customWidth="1"/>
    <col min="18" max="18" width="23" style="58" customWidth="1"/>
    <col min="19" max="19" width="5" style="58" customWidth="1"/>
    <col min="20" max="20" width="10.26953125" style="58" customWidth="1"/>
    <col min="21" max="27" width="18.453125" style="58" customWidth="1"/>
    <col min="28" max="28" width="12.453125" style="58" bestFit="1" customWidth="1"/>
    <col min="29" max="31" width="10.90625" style="58" customWidth="1"/>
    <col min="32" max="32" width="13.6328125" style="58" customWidth="1"/>
    <col min="33" max="33" width="14.54296875" style="58" customWidth="1"/>
    <col min="34" max="34" width="13.26953125" style="58" customWidth="1"/>
    <col min="35" max="38" width="13.81640625" style="58" customWidth="1"/>
    <col min="39" max="39" width="10.81640625" style="58" bestFit="1" customWidth="1"/>
    <col min="40" max="40" width="14" style="58" bestFit="1" customWidth="1"/>
    <col min="41" max="41" width="15.08984375" style="58" customWidth="1"/>
    <col min="42" max="42" width="12.81640625" style="58" bestFit="1" customWidth="1"/>
    <col min="43" max="43" width="12.26953125" style="58" bestFit="1" customWidth="1"/>
    <col min="44" max="44" width="6.36328125" style="58" customWidth="1"/>
    <col min="45" max="45" width="8" style="58" customWidth="1"/>
    <col min="46" max="46" width="6.453125" style="58" bestFit="1" customWidth="1"/>
    <col min="47" max="47" width="6.81640625" style="58" bestFit="1" customWidth="1"/>
    <col min="48" max="48" width="5.26953125" style="58" bestFit="1" customWidth="1"/>
    <col min="49" max="49" width="18" style="58" customWidth="1"/>
    <col min="50" max="50" width="26.1796875" style="58" customWidth="1"/>
    <col min="51" max="51" width="17.26953125" style="7" customWidth="1"/>
    <col min="52" max="16384" width="9.1796875" style="7"/>
  </cols>
  <sheetData>
    <row r="1" spans="1:51" s="6" customFormat="1" ht="20">
      <c r="A1" s="6" t="s">
        <v>416</v>
      </c>
    </row>
    <row r="2" spans="1:51" ht="18">
      <c r="A2" s="74" t="s">
        <v>88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</row>
    <row r="3" spans="1:51" ht="18">
      <c r="A3" s="74"/>
      <c r="B3" s="7" t="s">
        <v>269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7" t="e">
        <f>#REF!/3</f>
        <v>#REF!</v>
      </c>
      <c r="AH3" s="7"/>
      <c r="AI3" s="7"/>
      <c r="AJ3" s="7"/>
      <c r="AK3" s="7"/>
      <c r="AL3" s="40">
        <v>125000</v>
      </c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1" ht="18">
      <c r="A4" s="74"/>
      <c r="B4" s="7" t="s">
        <v>370</v>
      </c>
      <c r="C4" s="7"/>
      <c r="D4" s="7"/>
      <c r="E4" s="7"/>
      <c r="F4" s="7"/>
      <c r="G4" s="7"/>
      <c r="H4" s="7"/>
      <c r="I4" s="7"/>
      <c r="J4" s="7"/>
      <c r="K4" s="7"/>
      <c r="L4" s="75" t="s">
        <v>84</v>
      </c>
      <c r="M4" s="75"/>
      <c r="N4" s="75"/>
      <c r="O4" s="75"/>
      <c r="P4" s="75"/>
      <c r="Q4" s="75"/>
      <c r="R4" s="75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</row>
    <row r="5" spans="1:51" ht="20.25" customHeight="1">
      <c r="A5" s="74"/>
      <c r="B5" s="107">
        <f ca="1">TODAY()</f>
        <v>46244</v>
      </c>
      <c r="C5" s="107"/>
      <c r="D5" s="107"/>
      <c r="E5" s="7"/>
      <c r="F5" s="7"/>
      <c r="G5" s="7"/>
      <c r="H5" s="7"/>
      <c r="I5" s="7"/>
      <c r="J5" s="7"/>
      <c r="K5" s="7"/>
      <c r="L5" s="76" t="s">
        <v>83</v>
      </c>
      <c r="M5" s="76"/>
      <c r="N5" s="76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1" s="1" customFormat="1" ht="15" customHeight="1">
      <c r="A6" s="71" t="s">
        <v>0</v>
      </c>
      <c r="B6" s="71"/>
      <c r="C6" s="112"/>
      <c r="D6" s="112"/>
    </row>
    <row r="7" spans="1:51" s="1" customFormat="1" ht="15" customHeight="1">
      <c r="A7" s="59">
        <v>1</v>
      </c>
      <c r="B7" s="59">
        <v>2</v>
      </c>
      <c r="C7" s="59">
        <v>3</v>
      </c>
      <c r="D7" s="59">
        <v>4</v>
      </c>
      <c r="E7" s="59">
        <v>5</v>
      </c>
      <c r="F7" s="59">
        <v>6</v>
      </c>
      <c r="G7" s="59">
        <v>7</v>
      </c>
      <c r="H7" s="59">
        <v>8</v>
      </c>
      <c r="I7" s="59">
        <v>9</v>
      </c>
      <c r="J7" s="59">
        <v>10</v>
      </c>
      <c r="K7" s="59">
        <v>11</v>
      </c>
      <c r="L7" s="59">
        <v>12</v>
      </c>
      <c r="M7" s="59">
        <v>13</v>
      </c>
      <c r="N7" s="59">
        <v>14</v>
      </c>
      <c r="O7" s="59">
        <v>15</v>
      </c>
      <c r="P7" s="59">
        <v>16</v>
      </c>
      <c r="Q7" s="59">
        <v>17</v>
      </c>
      <c r="R7" s="59">
        <v>18</v>
      </c>
      <c r="S7" s="59">
        <v>19</v>
      </c>
      <c r="T7" s="59">
        <v>20</v>
      </c>
      <c r="U7" s="59">
        <v>21</v>
      </c>
      <c r="V7" s="59">
        <v>22</v>
      </c>
      <c r="W7" s="59">
        <v>23</v>
      </c>
      <c r="X7" s="59">
        <v>24</v>
      </c>
      <c r="Y7" s="59">
        <v>25</v>
      </c>
      <c r="Z7" s="59">
        <v>26</v>
      </c>
      <c r="AA7" s="59">
        <v>27</v>
      </c>
      <c r="AB7" s="59">
        <v>28</v>
      </c>
      <c r="AC7" s="59">
        <v>29</v>
      </c>
      <c r="AD7" s="59">
        <v>30</v>
      </c>
      <c r="AE7" s="59">
        <v>31</v>
      </c>
      <c r="AF7" s="59">
        <v>32</v>
      </c>
      <c r="AG7" s="59">
        <v>33</v>
      </c>
      <c r="AH7" s="59">
        <v>34</v>
      </c>
      <c r="AI7" s="59">
        <v>35</v>
      </c>
      <c r="AJ7" s="59">
        <v>36</v>
      </c>
      <c r="AK7" s="59">
        <v>37</v>
      </c>
      <c r="AL7" s="59">
        <v>38</v>
      </c>
      <c r="AM7" s="59">
        <v>39</v>
      </c>
      <c r="AN7" s="59">
        <v>40</v>
      </c>
      <c r="AO7" s="59">
        <v>41</v>
      </c>
      <c r="AP7" s="59">
        <v>42</v>
      </c>
      <c r="AQ7" s="59">
        <v>43</v>
      </c>
      <c r="AR7" s="59">
        <v>44</v>
      </c>
      <c r="AS7" s="59">
        <v>45</v>
      </c>
      <c r="AT7" s="59">
        <v>46</v>
      </c>
      <c r="AU7" s="59">
        <v>47</v>
      </c>
      <c r="AV7" s="59">
        <v>48</v>
      </c>
      <c r="AW7" s="59">
        <v>49</v>
      </c>
      <c r="AX7" s="59">
        <v>50</v>
      </c>
      <c r="AY7" s="59">
        <v>51</v>
      </c>
    </row>
    <row r="8" spans="1:51" s="1" customFormat="1" ht="14.25" customHeight="1">
      <c r="A8" s="211" t="s">
        <v>1</v>
      </c>
      <c r="B8" s="211" t="s">
        <v>2</v>
      </c>
      <c r="C8" s="211" t="s">
        <v>101</v>
      </c>
      <c r="D8" s="208" t="s">
        <v>271</v>
      </c>
      <c r="E8" s="208" t="s">
        <v>3</v>
      </c>
      <c r="F8" s="208" t="s">
        <v>4</v>
      </c>
      <c r="G8" s="208" t="s">
        <v>5</v>
      </c>
      <c r="H8" s="226" t="s">
        <v>6</v>
      </c>
      <c r="I8" s="208" t="s">
        <v>7</v>
      </c>
      <c r="J8" s="226" t="s">
        <v>75</v>
      </c>
      <c r="K8" s="226" t="s">
        <v>8</v>
      </c>
      <c r="L8" s="226" t="s">
        <v>9</v>
      </c>
      <c r="M8" s="226" t="s">
        <v>76</v>
      </c>
      <c r="N8" s="214" t="s">
        <v>77</v>
      </c>
      <c r="O8" s="223" t="s">
        <v>85</v>
      </c>
      <c r="P8" s="223" t="s">
        <v>373</v>
      </c>
      <c r="Q8" s="217" t="s">
        <v>272</v>
      </c>
      <c r="R8" s="220" t="s">
        <v>70</v>
      </c>
      <c r="S8" s="223" t="s">
        <v>270</v>
      </c>
      <c r="T8" s="223" t="s">
        <v>275</v>
      </c>
      <c r="U8" s="229" t="s">
        <v>11</v>
      </c>
      <c r="V8" s="230"/>
      <c r="W8" s="230"/>
      <c r="X8" s="231"/>
      <c r="Y8" s="211" t="s">
        <v>12</v>
      </c>
      <c r="Z8" s="232" t="s">
        <v>13</v>
      </c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3"/>
      <c r="AL8" s="233"/>
      <c r="AM8" s="233"/>
      <c r="AN8" s="234" t="s">
        <v>14</v>
      </c>
      <c r="AO8" s="250" t="s">
        <v>28</v>
      </c>
      <c r="AP8" s="253" t="s">
        <v>15</v>
      </c>
      <c r="AQ8" s="254"/>
      <c r="AR8" s="255"/>
      <c r="AS8" s="5"/>
      <c r="AT8" s="5"/>
      <c r="AU8" s="5"/>
      <c r="AV8" s="5"/>
      <c r="AW8" s="256" t="s">
        <v>16</v>
      </c>
      <c r="AX8" s="259" t="s">
        <v>17</v>
      </c>
      <c r="AY8" s="291" t="s">
        <v>29</v>
      </c>
    </row>
    <row r="9" spans="1:51" s="1" customFormat="1" ht="23.25" customHeight="1">
      <c r="A9" s="212"/>
      <c r="B9" s="212"/>
      <c r="C9" s="212"/>
      <c r="D9" s="209"/>
      <c r="E9" s="209"/>
      <c r="F9" s="209"/>
      <c r="G9" s="209"/>
      <c r="H9" s="227"/>
      <c r="I9" s="209"/>
      <c r="J9" s="227"/>
      <c r="K9" s="227"/>
      <c r="L9" s="227"/>
      <c r="M9" s="227"/>
      <c r="N9" s="215"/>
      <c r="O9" s="224"/>
      <c r="P9" s="224"/>
      <c r="Q9" s="218"/>
      <c r="R9" s="221"/>
      <c r="S9" s="224"/>
      <c r="T9" s="224"/>
      <c r="U9" s="244" t="s">
        <v>30</v>
      </c>
      <c r="V9" s="229" t="s">
        <v>18</v>
      </c>
      <c r="W9" s="230"/>
      <c r="X9" s="231"/>
      <c r="Y9" s="212"/>
      <c r="Z9" s="237" t="s">
        <v>19</v>
      </c>
      <c r="AA9" s="237" t="s">
        <v>33</v>
      </c>
      <c r="AB9" s="239" t="s">
        <v>20</v>
      </c>
      <c r="AC9" s="240"/>
      <c r="AD9" s="240"/>
      <c r="AE9" s="241"/>
      <c r="AF9" s="242" t="s">
        <v>86</v>
      </c>
      <c r="AG9" s="237" t="s">
        <v>371</v>
      </c>
      <c r="AH9" s="237" t="s">
        <v>21</v>
      </c>
      <c r="AI9" s="237" t="s">
        <v>22</v>
      </c>
      <c r="AJ9" s="237" t="s">
        <v>23</v>
      </c>
      <c r="AK9" s="237" t="s">
        <v>276</v>
      </c>
      <c r="AL9" s="237" t="s">
        <v>24</v>
      </c>
      <c r="AM9" s="237" t="s">
        <v>79</v>
      </c>
      <c r="AN9" s="235"/>
      <c r="AO9" s="251"/>
      <c r="AP9" s="246" t="s">
        <v>413</v>
      </c>
      <c r="AQ9" s="248" t="s">
        <v>414</v>
      </c>
      <c r="AR9" s="246" t="s">
        <v>10</v>
      </c>
      <c r="AS9" s="246" t="s">
        <v>71</v>
      </c>
      <c r="AT9" s="246" t="s">
        <v>69</v>
      </c>
      <c r="AU9" s="246" t="s">
        <v>34</v>
      </c>
      <c r="AV9" s="246" t="s">
        <v>81</v>
      </c>
      <c r="AW9" s="257"/>
      <c r="AX9" s="260"/>
      <c r="AY9" s="292"/>
    </row>
    <row r="10" spans="1:51" s="1" customFormat="1" ht="23.25" customHeight="1">
      <c r="A10" s="213"/>
      <c r="B10" s="213"/>
      <c r="C10" s="213"/>
      <c r="D10" s="210"/>
      <c r="E10" s="210"/>
      <c r="F10" s="210"/>
      <c r="G10" s="210"/>
      <c r="H10" s="228"/>
      <c r="I10" s="210"/>
      <c r="J10" s="228"/>
      <c r="K10" s="228"/>
      <c r="L10" s="228"/>
      <c r="M10" s="228"/>
      <c r="N10" s="216"/>
      <c r="O10" s="225"/>
      <c r="P10" s="225"/>
      <c r="Q10" s="219"/>
      <c r="R10" s="222"/>
      <c r="S10" s="225"/>
      <c r="T10" s="224"/>
      <c r="U10" s="245"/>
      <c r="V10" s="4" t="s">
        <v>25</v>
      </c>
      <c r="W10" s="2" t="s">
        <v>26</v>
      </c>
      <c r="X10" s="3" t="s">
        <v>27</v>
      </c>
      <c r="Y10" s="213"/>
      <c r="Z10" s="238"/>
      <c r="AA10" s="238"/>
      <c r="AB10" s="57">
        <v>1</v>
      </c>
      <c r="AC10" s="57">
        <v>2</v>
      </c>
      <c r="AD10" s="57">
        <v>3</v>
      </c>
      <c r="AE10" s="57">
        <v>4</v>
      </c>
      <c r="AF10" s="243"/>
      <c r="AG10" s="238"/>
      <c r="AH10" s="238"/>
      <c r="AI10" s="238"/>
      <c r="AJ10" s="238"/>
      <c r="AK10" s="238"/>
      <c r="AL10" s="238"/>
      <c r="AM10" s="238"/>
      <c r="AN10" s="236"/>
      <c r="AO10" s="252"/>
      <c r="AP10" s="247"/>
      <c r="AQ10" s="249"/>
      <c r="AR10" s="247"/>
      <c r="AS10" s="247"/>
      <c r="AT10" s="247"/>
      <c r="AU10" s="247"/>
      <c r="AV10" s="247"/>
      <c r="AW10" s="258"/>
      <c r="AX10" s="261"/>
      <c r="AY10" s="293"/>
    </row>
    <row r="11" spans="1:51" ht="15" customHeight="1">
      <c r="A11" s="70">
        <v>1</v>
      </c>
      <c r="B11" s="111" t="str">
        <f>'Data Base PPTQ Malili'!B8</f>
        <v>Umar, S.Pd.I., S.H., M.Pd</v>
      </c>
      <c r="C11" s="111" t="str">
        <f>'Data Base PPTQ Malili'!J8</f>
        <v>Pimpinan Pondok</v>
      </c>
      <c r="D11" s="113">
        <f t="shared" ref="D11:D14" si="0">F11+I11</f>
        <v>24</v>
      </c>
      <c r="E11" s="113">
        <v>24</v>
      </c>
      <c r="F11" s="113">
        <f>E11-G11-I11</f>
        <v>24</v>
      </c>
      <c r="G11" s="113">
        <v>0</v>
      </c>
      <c r="H11" s="113">
        <f>E11-G11-I11-J11</f>
        <v>24</v>
      </c>
      <c r="I11" s="114">
        <v>0</v>
      </c>
      <c r="J11" s="113">
        <v>0</v>
      </c>
      <c r="K11" s="113">
        <f>E11-G11-L11-M11</f>
        <v>24</v>
      </c>
      <c r="L11" s="113">
        <v>0</v>
      </c>
      <c r="M11" s="113">
        <v>0</v>
      </c>
      <c r="N11" s="9">
        <v>0</v>
      </c>
      <c r="O11" s="9">
        <v>132</v>
      </c>
      <c r="P11" s="9"/>
      <c r="Q11" s="9" t="str">
        <f>'Data Base PPTQ Malili'!R8</f>
        <v>S2</v>
      </c>
      <c r="R11" s="9" t="str">
        <f ca="1">'Data Base PPTQ Malili'!F8</f>
        <v>8 Tahun 7 Bulan 9 Hari</v>
      </c>
      <c r="S11" s="51">
        <v>8</v>
      </c>
      <c r="T11" s="51" t="str">
        <f>'Data Base PPTQ Malili'!G8</f>
        <v>PT</v>
      </c>
      <c r="U11" s="45">
        <v>1050000</v>
      </c>
      <c r="V11" s="41">
        <v>50000</v>
      </c>
      <c r="W11" s="21">
        <f>'Data Base PPTQ Malili'!X8</f>
        <v>2</v>
      </c>
      <c r="X11" s="40">
        <f>W11*20000</f>
        <v>40000</v>
      </c>
      <c r="Y11" s="40">
        <f>U11+V11+X11</f>
        <v>1140000</v>
      </c>
      <c r="Z11" s="41">
        <v>500000</v>
      </c>
      <c r="AA11" s="41">
        <v>150000</v>
      </c>
      <c r="AB11" s="41">
        <v>100000</v>
      </c>
      <c r="AC11" s="41"/>
      <c r="AD11" s="41"/>
      <c r="AE11" s="41"/>
      <c r="AF11" s="109">
        <f t="shared" ref="AF11:AF16" si="1">SUM(AB11:AE11)</f>
        <v>100000</v>
      </c>
      <c r="AG11" s="41">
        <f>P11*4500*6</f>
        <v>0</v>
      </c>
      <c r="AH11" s="41">
        <f>F11*6000</f>
        <v>144000</v>
      </c>
      <c r="AI11" s="40">
        <f>H11*4000</f>
        <v>96000</v>
      </c>
      <c r="AJ11" s="40">
        <f>K11*4000</f>
        <v>96000</v>
      </c>
      <c r="AK11" s="40">
        <f>O11*5000</f>
        <v>660000</v>
      </c>
      <c r="AL11" s="40">
        <v>150000</v>
      </c>
      <c r="AM11" s="40">
        <v>0</v>
      </c>
      <c r="AN11" s="40">
        <f t="shared" ref="AN11:AN18" si="2">SUM(Z11,AA11,AF11,AG11,AH11,AI11,AJ11,AK11,AL11)</f>
        <v>1896000</v>
      </c>
      <c r="AO11" s="40">
        <f t="shared" ref="AO11:AO18" si="3">Y11+AN11</f>
        <v>3036000</v>
      </c>
      <c r="AP11" s="40">
        <f>AO11*AQ11</f>
        <v>0</v>
      </c>
      <c r="AQ11" s="155"/>
      <c r="AR11" s="10"/>
      <c r="AS11" s="40">
        <f>100*AR11</f>
        <v>0</v>
      </c>
      <c r="AT11" s="40">
        <v>0</v>
      </c>
      <c r="AU11" s="40">
        <v>0</v>
      </c>
      <c r="AV11" s="40" t="s">
        <v>82</v>
      </c>
      <c r="AW11" s="42">
        <f>SUM(AP11,AS11,AT11,AU11)</f>
        <v>0</v>
      </c>
      <c r="AX11" s="43" t="str">
        <f t="shared" ref="AX11:AX18" si="4">B11</f>
        <v>Umar, S.Pd.I., S.H., M.Pd</v>
      </c>
      <c r="AY11" s="55">
        <f>AO11-AW11</f>
        <v>3036000</v>
      </c>
    </row>
    <row r="12" spans="1:51" ht="15" customHeight="1">
      <c r="A12" s="70">
        <v>2</v>
      </c>
      <c r="B12" s="111" t="str">
        <f>'Data Base PPTQ Malili'!B9</f>
        <v>Ahmad</v>
      </c>
      <c r="C12" s="111" t="str">
        <f>'Data Base PPTQ Malili'!J9</f>
        <v>PJ. Internal Pondok</v>
      </c>
      <c r="D12" s="113">
        <f t="shared" si="0"/>
        <v>24</v>
      </c>
      <c r="E12" s="113">
        <v>24</v>
      </c>
      <c r="F12" s="113">
        <f t="shared" ref="F12:F14" si="5">E12-G12-I12</f>
        <v>24</v>
      </c>
      <c r="G12" s="113">
        <v>0</v>
      </c>
      <c r="H12" s="113">
        <f t="shared" ref="H12:H14" si="6">E12-G12-I12-J12</f>
        <v>24</v>
      </c>
      <c r="I12" s="114">
        <v>0</v>
      </c>
      <c r="J12" s="113">
        <v>0</v>
      </c>
      <c r="K12" s="113">
        <f t="shared" ref="K12:K14" si="7">E12-G12-L12-M12</f>
        <v>24</v>
      </c>
      <c r="L12" s="113">
        <v>0</v>
      </c>
      <c r="M12" s="113">
        <v>0</v>
      </c>
      <c r="N12" s="9">
        <v>0</v>
      </c>
      <c r="O12" s="9"/>
      <c r="P12" s="9">
        <v>30</v>
      </c>
      <c r="Q12" s="9" t="str">
        <f>'Data Base PPTQ Malili'!R9</f>
        <v>S2</v>
      </c>
      <c r="R12" s="9" t="str">
        <f ca="1">'Data Base PPTQ Malili'!F9</f>
        <v>1 Tahun 1 Bulan 9 Hari</v>
      </c>
      <c r="S12" s="51">
        <v>1</v>
      </c>
      <c r="T12" s="51" t="str">
        <f>'Data Base PPTQ Malili'!G9</f>
        <v>PT</v>
      </c>
      <c r="U12" s="45">
        <v>1700000</v>
      </c>
      <c r="V12" s="40"/>
      <c r="W12" s="21">
        <f>'Data Base PPTQ Malili'!X9</f>
        <v>4</v>
      </c>
      <c r="X12" s="40">
        <f t="shared" ref="X12:X18" si="8">W12*20000</f>
        <v>80000</v>
      </c>
      <c r="Y12" s="40">
        <f>U12+V12+X12</f>
        <v>1780000</v>
      </c>
      <c r="Z12" s="41">
        <v>500000</v>
      </c>
      <c r="AA12" s="41"/>
      <c r="AB12" s="41">
        <v>100000</v>
      </c>
      <c r="AC12" s="41"/>
      <c r="AD12" s="41"/>
      <c r="AE12" s="41"/>
      <c r="AF12" s="109">
        <f t="shared" si="1"/>
        <v>100000</v>
      </c>
      <c r="AG12" s="41">
        <f t="shared" ref="AG12:AG18" si="9">P12*4500*6</f>
        <v>810000</v>
      </c>
      <c r="AH12" s="41"/>
      <c r="AI12" s="40"/>
      <c r="AJ12" s="40"/>
      <c r="AK12" s="40">
        <f t="shared" ref="AK12:AK18" si="10">O12*5000</f>
        <v>0</v>
      </c>
      <c r="AL12" s="40">
        <v>150000</v>
      </c>
      <c r="AM12" s="40">
        <v>0</v>
      </c>
      <c r="AN12" s="40">
        <f t="shared" si="2"/>
        <v>1560000</v>
      </c>
      <c r="AO12" s="40">
        <f t="shared" si="3"/>
        <v>3340000</v>
      </c>
      <c r="AP12" s="40">
        <f t="shared" ref="AP12:AP18" si="11">AO12*AQ12</f>
        <v>0</v>
      </c>
      <c r="AQ12" s="155"/>
      <c r="AR12" s="10">
        <f t="shared" ref="AR12:AR16" si="12">N12</f>
        <v>0</v>
      </c>
      <c r="AS12" s="40">
        <f t="shared" ref="AS12:AS18" si="13">100*AR12</f>
        <v>0</v>
      </c>
      <c r="AT12" s="40"/>
      <c r="AU12" s="40">
        <v>0</v>
      </c>
      <c r="AV12" s="40" t="s">
        <v>82</v>
      </c>
      <c r="AW12" s="42">
        <f t="shared" ref="AW12:AW16" si="14">SUM(AP12,AS12,AT12,AU12)</f>
        <v>0</v>
      </c>
      <c r="AX12" s="43" t="str">
        <f t="shared" si="4"/>
        <v>Ahmad</v>
      </c>
      <c r="AY12" s="55">
        <f t="shared" ref="AY12:AY18" si="15">AO12-AW12</f>
        <v>3340000</v>
      </c>
    </row>
    <row r="13" spans="1:51" ht="15" customHeight="1">
      <c r="A13" s="70">
        <v>3</v>
      </c>
      <c r="B13" s="111" t="str">
        <f>'Data Base PPTQ Malili'!B10</f>
        <v>Risman</v>
      </c>
      <c r="C13" s="111" t="str">
        <f>'Data Base PPTQ Malili'!J10</f>
        <v>Wali Kelas ( Mengaji )</v>
      </c>
      <c r="D13" s="113">
        <f t="shared" si="0"/>
        <v>24</v>
      </c>
      <c r="E13" s="113">
        <v>24</v>
      </c>
      <c r="F13" s="113">
        <f t="shared" si="5"/>
        <v>24</v>
      </c>
      <c r="G13" s="113">
        <v>0</v>
      </c>
      <c r="H13" s="113">
        <f t="shared" si="6"/>
        <v>24</v>
      </c>
      <c r="I13" s="114">
        <v>0</v>
      </c>
      <c r="J13" s="113">
        <v>0</v>
      </c>
      <c r="K13" s="113">
        <f t="shared" si="7"/>
        <v>24</v>
      </c>
      <c r="L13" s="113">
        <v>0</v>
      </c>
      <c r="M13" s="113">
        <v>0</v>
      </c>
      <c r="N13" s="9">
        <v>0</v>
      </c>
      <c r="O13" s="9">
        <v>36</v>
      </c>
      <c r="P13" s="9"/>
      <c r="Q13" s="9" t="str">
        <f>'Data Base PPTQ Malili'!R10</f>
        <v>SMA</v>
      </c>
      <c r="R13" s="9" t="str">
        <f ca="1">'Data Base PPTQ Malili'!F10</f>
        <v>7 Tahun 7 Bulan 9 Hari</v>
      </c>
      <c r="S13" s="51">
        <v>7</v>
      </c>
      <c r="T13" s="51" t="str">
        <f>'Data Base PPTQ Malili'!G10</f>
        <v>PT</v>
      </c>
      <c r="U13" s="45">
        <v>1520000</v>
      </c>
      <c r="V13" s="41">
        <v>50000</v>
      </c>
      <c r="W13" s="21">
        <f>'Data Base PPTQ Malili'!X10</f>
        <v>7</v>
      </c>
      <c r="X13" s="40">
        <f t="shared" si="8"/>
        <v>140000</v>
      </c>
      <c r="Y13" s="40">
        <f>U13+V13+X13</f>
        <v>1710000</v>
      </c>
      <c r="Z13" s="41"/>
      <c r="AA13" s="41">
        <v>150000</v>
      </c>
      <c r="AB13" s="41">
        <v>100000</v>
      </c>
      <c r="AC13" s="41"/>
      <c r="AD13" s="41"/>
      <c r="AE13" s="41"/>
      <c r="AF13" s="109">
        <f t="shared" si="1"/>
        <v>100000</v>
      </c>
      <c r="AG13" s="41">
        <f t="shared" si="9"/>
        <v>0</v>
      </c>
      <c r="AH13" s="41">
        <f t="shared" ref="AH13:AH15" si="16">F13*6000</f>
        <v>144000</v>
      </c>
      <c r="AI13" s="40">
        <f>H13*4000</f>
        <v>96000</v>
      </c>
      <c r="AJ13" s="40">
        <f>K13*4000</f>
        <v>96000</v>
      </c>
      <c r="AK13" s="40">
        <f t="shared" si="10"/>
        <v>180000</v>
      </c>
      <c r="AL13" s="40">
        <v>150000</v>
      </c>
      <c r="AM13" s="40">
        <v>0</v>
      </c>
      <c r="AN13" s="40">
        <f t="shared" si="2"/>
        <v>916000</v>
      </c>
      <c r="AO13" s="40">
        <f t="shared" si="3"/>
        <v>2626000</v>
      </c>
      <c r="AP13" s="40">
        <f t="shared" si="11"/>
        <v>0</v>
      </c>
      <c r="AQ13" s="155"/>
      <c r="AR13" s="10">
        <f t="shared" si="12"/>
        <v>0</v>
      </c>
      <c r="AS13" s="40">
        <f t="shared" si="13"/>
        <v>0</v>
      </c>
      <c r="AT13" s="40"/>
      <c r="AU13" s="40">
        <v>0</v>
      </c>
      <c r="AV13" s="40" t="s">
        <v>82</v>
      </c>
      <c r="AW13" s="42">
        <f t="shared" si="14"/>
        <v>0</v>
      </c>
      <c r="AX13" s="43" t="str">
        <f t="shared" si="4"/>
        <v>Risman</v>
      </c>
      <c r="AY13" s="55">
        <f t="shared" si="15"/>
        <v>2626000</v>
      </c>
    </row>
    <row r="14" spans="1:51" ht="15" customHeight="1">
      <c r="A14" s="70">
        <v>4</v>
      </c>
      <c r="B14" s="111" t="str">
        <f>'Data Base PPTQ Malili'!B14</f>
        <v>Fitriani Hornai</v>
      </c>
      <c r="C14" s="111" t="str">
        <f>'Data Base PPTQ Malili'!J14</f>
        <v>Guru Mapel (Mengaji)</v>
      </c>
      <c r="D14" s="113">
        <f t="shared" si="0"/>
        <v>24</v>
      </c>
      <c r="E14" s="113">
        <v>24</v>
      </c>
      <c r="F14" s="113">
        <f t="shared" si="5"/>
        <v>24</v>
      </c>
      <c r="G14" s="113">
        <v>0</v>
      </c>
      <c r="H14" s="113">
        <f t="shared" si="6"/>
        <v>24</v>
      </c>
      <c r="I14" s="114">
        <v>0</v>
      </c>
      <c r="J14" s="113">
        <v>0</v>
      </c>
      <c r="K14" s="113">
        <f t="shared" si="7"/>
        <v>24</v>
      </c>
      <c r="L14" s="113">
        <v>0</v>
      </c>
      <c r="M14" s="113">
        <v>0</v>
      </c>
      <c r="N14" s="9">
        <v>0</v>
      </c>
      <c r="O14" s="9"/>
      <c r="P14" s="9"/>
      <c r="Q14" s="9" t="str">
        <f>'Data Base PPTQ Malili'!R14</f>
        <v>S1</v>
      </c>
      <c r="R14" s="9" t="str">
        <f ca="1">'Data Base PPTQ Malili'!F14</f>
        <v>2 Tahun 10 Bulan 9 Hari</v>
      </c>
      <c r="S14" s="51">
        <v>2</v>
      </c>
      <c r="T14" s="51" t="str">
        <f>'Data Base PPTQ Malili'!G14</f>
        <v>PT</v>
      </c>
      <c r="U14" s="45">
        <v>1160000</v>
      </c>
      <c r="V14" s="40"/>
      <c r="W14" s="21">
        <f>'Data Base PPTQ Malili'!X14</f>
        <v>4</v>
      </c>
      <c r="X14" s="40">
        <f t="shared" si="8"/>
        <v>80000</v>
      </c>
      <c r="Y14" s="40">
        <v>900000</v>
      </c>
      <c r="Z14" s="41">
        <v>400000</v>
      </c>
      <c r="AA14" s="41"/>
      <c r="AB14" s="41">
        <v>100000</v>
      </c>
      <c r="AC14" s="41"/>
      <c r="AD14" s="41"/>
      <c r="AE14" s="41"/>
      <c r="AF14" s="109">
        <f t="shared" si="1"/>
        <v>100000</v>
      </c>
      <c r="AG14" s="41">
        <f t="shared" si="9"/>
        <v>0</v>
      </c>
      <c r="AH14" s="41">
        <f t="shared" si="16"/>
        <v>144000</v>
      </c>
      <c r="AI14" s="40">
        <f>H14*4000</f>
        <v>96000</v>
      </c>
      <c r="AJ14" s="40">
        <f>K14*4000</f>
        <v>96000</v>
      </c>
      <c r="AK14" s="40">
        <f t="shared" si="10"/>
        <v>0</v>
      </c>
      <c r="AL14" s="40">
        <v>150000</v>
      </c>
      <c r="AM14" s="40">
        <v>0</v>
      </c>
      <c r="AN14" s="40">
        <f t="shared" si="2"/>
        <v>986000</v>
      </c>
      <c r="AO14" s="40">
        <f t="shared" si="3"/>
        <v>1886000</v>
      </c>
      <c r="AP14" s="40">
        <f t="shared" si="11"/>
        <v>0</v>
      </c>
      <c r="AQ14" s="155"/>
      <c r="AR14" s="10">
        <f t="shared" si="12"/>
        <v>0</v>
      </c>
      <c r="AS14" s="40">
        <f t="shared" si="13"/>
        <v>0</v>
      </c>
      <c r="AT14" s="40"/>
      <c r="AU14" s="40">
        <v>0</v>
      </c>
      <c r="AV14" s="40" t="s">
        <v>82</v>
      </c>
      <c r="AW14" s="42">
        <f t="shared" si="14"/>
        <v>0</v>
      </c>
      <c r="AX14" s="43" t="str">
        <f t="shared" si="4"/>
        <v>Fitriani Hornai</v>
      </c>
      <c r="AY14" s="55">
        <f t="shared" si="15"/>
        <v>1886000</v>
      </c>
    </row>
    <row r="15" spans="1:51" ht="15" customHeight="1">
      <c r="A15" s="70">
        <v>5</v>
      </c>
      <c r="B15" s="111" t="str">
        <f>'Data Base PPTQ Malili'!B15</f>
        <v>Irma Muh. Seni S.Pd</v>
      </c>
      <c r="C15" s="111" t="str">
        <f>'Data Base PPTQ Malili'!J15</f>
        <v>Guru Mapel (Mengaji)</v>
      </c>
      <c r="D15" s="113">
        <f t="shared" ref="D15:D18" si="17">F15+I15</f>
        <v>24</v>
      </c>
      <c r="E15" s="113">
        <v>24</v>
      </c>
      <c r="F15" s="113">
        <f t="shared" ref="F15:F18" si="18">E15-G15-I15</f>
        <v>24</v>
      </c>
      <c r="G15" s="113">
        <v>0</v>
      </c>
      <c r="H15" s="113">
        <f t="shared" ref="H15:H18" si="19">E15-G15-I15-J15</f>
        <v>24</v>
      </c>
      <c r="I15" s="114">
        <v>0</v>
      </c>
      <c r="J15" s="113">
        <v>0</v>
      </c>
      <c r="K15" s="113">
        <f t="shared" ref="K15:K18" si="20">E15-G15-L15-M15</f>
        <v>24</v>
      </c>
      <c r="L15" s="113">
        <v>0</v>
      </c>
      <c r="M15" s="113">
        <v>0</v>
      </c>
      <c r="N15" s="9">
        <v>0</v>
      </c>
      <c r="O15" s="9"/>
      <c r="P15" s="9"/>
      <c r="Q15" s="9" t="str">
        <f>'Data Base PPTQ Malili'!R15</f>
        <v>S1</v>
      </c>
      <c r="R15" s="9" t="str">
        <f ca="1">'Data Base PPTQ Malili'!F15</f>
        <v>1 Tahun 7 Bulan 9 Hari</v>
      </c>
      <c r="S15" s="51">
        <v>1</v>
      </c>
      <c r="T15" s="51" t="str">
        <f>'Data Base PPTQ Malili'!G15</f>
        <v>PK</v>
      </c>
      <c r="U15" s="45">
        <v>550000</v>
      </c>
      <c r="V15" s="40"/>
      <c r="W15" s="21">
        <f>'Data Base PPTQ Malili'!X15</f>
        <v>0</v>
      </c>
      <c r="X15" s="40">
        <f t="shared" si="8"/>
        <v>0</v>
      </c>
      <c r="Y15" s="40">
        <f t="shared" ref="Y15:Y18" si="21">U15+V15+X15</f>
        <v>550000</v>
      </c>
      <c r="Z15" s="41"/>
      <c r="AA15" s="41"/>
      <c r="AB15" s="41"/>
      <c r="AC15" s="41"/>
      <c r="AD15" s="41"/>
      <c r="AE15" s="41"/>
      <c r="AF15" s="109">
        <f t="shared" si="1"/>
        <v>0</v>
      </c>
      <c r="AG15" s="41">
        <f t="shared" si="9"/>
        <v>0</v>
      </c>
      <c r="AH15" s="41">
        <f t="shared" si="16"/>
        <v>144000</v>
      </c>
      <c r="AI15" s="40">
        <f>H15*4000</f>
        <v>96000</v>
      </c>
      <c r="AJ15" s="40">
        <f>K15*4000</f>
        <v>96000</v>
      </c>
      <c r="AK15" s="40">
        <f t="shared" si="10"/>
        <v>0</v>
      </c>
      <c r="AL15" s="40">
        <v>150000</v>
      </c>
      <c r="AM15" s="40">
        <v>0</v>
      </c>
      <c r="AN15" s="40">
        <f t="shared" si="2"/>
        <v>486000</v>
      </c>
      <c r="AO15" s="40">
        <f t="shared" si="3"/>
        <v>1036000</v>
      </c>
      <c r="AP15" s="40">
        <f t="shared" si="11"/>
        <v>0</v>
      </c>
      <c r="AQ15" s="155"/>
      <c r="AR15" s="10">
        <f t="shared" si="12"/>
        <v>0</v>
      </c>
      <c r="AS15" s="40">
        <f t="shared" si="13"/>
        <v>0</v>
      </c>
      <c r="AT15" s="40"/>
      <c r="AU15" s="40">
        <v>0</v>
      </c>
      <c r="AV15" s="40" t="s">
        <v>82</v>
      </c>
      <c r="AW15" s="42">
        <f t="shared" si="14"/>
        <v>0</v>
      </c>
      <c r="AX15" s="43" t="str">
        <f t="shared" si="4"/>
        <v>Irma Muh. Seni S.Pd</v>
      </c>
      <c r="AY15" s="55">
        <f t="shared" si="15"/>
        <v>1036000</v>
      </c>
    </row>
    <row r="16" spans="1:51" ht="15" customHeight="1">
      <c r="A16" s="70">
        <v>6</v>
      </c>
      <c r="B16" s="111" t="str">
        <f>'Data Base PPTQ Malili'!B16</f>
        <v>Nayla</v>
      </c>
      <c r="C16" s="111" t="str">
        <f>'Data Base PPTQ Malili'!J16</f>
        <v>Pembina Asrama</v>
      </c>
      <c r="D16" s="113">
        <f t="shared" si="17"/>
        <v>24</v>
      </c>
      <c r="E16" s="113">
        <v>24</v>
      </c>
      <c r="F16" s="113">
        <f t="shared" si="18"/>
        <v>24</v>
      </c>
      <c r="G16" s="113">
        <v>0</v>
      </c>
      <c r="H16" s="113">
        <f t="shared" si="19"/>
        <v>24</v>
      </c>
      <c r="I16" s="114">
        <v>0</v>
      </c>
      <c r="J16" s="113">
        <v>0</v>
      </c>
      <c r="K16" s="113">
        <f t="shared" si="20"/>
        <v>24</v>
      </c>
      <c r="L16" s="113">
        <v>0</v>
      </c>
      <c r="M16" s="113">
        <v>0</v>
      </c>
      <c r="N16" s="9">
        <v>0</v>
      </c>
      <c r="O16" s="9">
        <v>2</v>
      </c>
      <c r="P16" s="9">
        <v>30</v>
      </c>
      <c r="Q16" s="9" t="str">
        <f>'Data Base PPTQ Malili'!R16</f>
        <v>SMA</v>
      </c>
      <c r="R16" s="9" t="str">
        <f ca="1">'Data Base PPTQ Malili'!F16</f>
        <v>0 Tahun 1 Bulan 9 Hari</v>
      </c>
      <c r="S16" s="51">
        <v>0</v>
      </c>
      <c r="T16" s="51" t="str">
        <f>'Data Base PPTQ Malili'!G16</f>
        <v>PK</v>
      </c>
      <c r="U16" s="45"/>
      <c r="V16" s="40"/>
      <c r="W16" s="21">
        <f>'Data Base PPTQ Malili'!X16</f>
        <v>0</v>
      </c>
      <c r="X16" s="40">
        <f t="shared" si="8"/>
        <v>0</v>
      </c>
      <c r="Y16" s="40">
        <f t="shared" si="21"/>
        <v>0</v>
      </c>
      <c r="Z16" s="41"/>
      <c r="AA16" s="41"/>
      <c r="AB16" s="41"/>
      <c r="AC16" s="41"/>
      <c r="AD16" s="41"/>
      <c r="AE16" s="41"/>
      <c r="AF16" s="109">
        <f t="shared" si="1"/>
        <v>0</v>
      </c>
      <c r="AG16" s="41">
        <f t="shared" si="9"/>
        <v>810000</v>
      </c>
      <c r="AH16" s="41"/>
      <c r="AI16" s="40"/>
      <c r="AJ16" s="40"/>
      <c r="AK16" s="40">
        <f t="shared" si="10"/>
        <v>10000</v>
      </c>
      <c r="AL16" s="40">
        <v>150000</v>
      </c>
      <c r="AM16" s="40">
        <v>0</v>
      </c>
      <c r="AN16" s="40">
        <f t="shared" si="2"/>
        <v>970000</v>
      </c>
      <c r="AO16" s="40">
        <f t="shared" si="3"/>
        <v>970000</v>
      </c>
      <c r="AP16" s="40">
        <f t="shared" si="11"/>
        <v>0</v>
      </c>
      <c r="AQ16" s="155"/>
      <c r="AR16" s="10">
        <f t="shared" si="12"/>
        <v>0</v>
      </c>
      <c r="AS16" s="40">
        <f t="shared" si="13"/>
        <v>0</v>
      </c>
      <c r="AT16" s="40"/>
      <c r="AU16" s="40">
        <v>0</v>
      </c>
      <c r="AV16" s="40" t="s">
        <v>82</v>
      </c>
      <c r="AW16" s="42">
        <f t="shared" si="14"/>
        <v>0</v>
      </c>
      <c r="AX16" s="43" t="str">
        <f t="shared" si="4"/>
        <v>Nayla</v>
      </c>
      <c r="AY16" s="55">
        <f t="shared" si="15"/>
        <v>970000</v>
      </c>
    </row>
    <row r="17" spans="1:51" ht="14.5">
      <c r="A17" s="70">
        <v>7</v>
      </c>
      <c r="B17" s="111" t="str">
        <f>'Data Base PPTQ Malili'!B17</f>
        <v>Nashwa</v>
      </c>
      <c r="C17" s="111" t="str">
        <f>'Data Base PPTQ Malili'!J17</f>
        <v>Pembina Asrama</v>
      </c>
      <c r="D17" s="113">
        <f t="shared" si="17"/>
        <v>24</v>
      </c>
      <c r="E17" s="113">
        <v>24</v>
      </c>
      <c r="F17" s="113">
        <f t="shared" si="18"/>
        <v>24</v>
      </c>
      <c r="G17" s="113">
        <v>0</v>
      </c>
      <c r="H17" s="113">
        <f t="shared" si="19"/>
        <v>24</v>
      </c>
      <c r="I17" s="114">
        <v>0</v>
      </c>
      <c r="J17" s="113">
        <v>0</v>
      </c>
      <c r="K17" s="113">
        <f t="shared" si="20"/>
        <v>24</v>
      </c>
      <c r="L17" s="113">
        <v>0</v>
      </c>
      <c r="M17" s="113">
        <v>0</v>
      </c>
      <c r="N17" s="9"/>
      <c r="O17" s="9"/>
      <c r="P17" s="9">
        <v>30</v>
      </c>
      <c r="Q17" s="9" t="str">
        <f>'Data Base PPTQ Malili'!R17</f>
        <v>SMA</v>
      </c>
      <c r="R17" s="9" t="str">
        <f ca="1">'Data Base PPTQ Malili'!F17</f>
        <v>0 Tahun 1 Bulan 9 Hari</v>
      </c>
      <c r="S17" s="51">
        <v>0</v>
      </c>
      <c r="T17" s="51" t="str">
        <f>'Data Base PPTQ Malili'!G17</f>
        <v>PK</v>
      </c>
      <c r="U17" s="45"/>
      <c r="V17" s="40"/>
      <c r="W17" s="21">
        <f>'Data Base PPTQ Malili'!X17</f>
        <v>0</v>
      </c>
      <c r="X17" s="40">
        <f t="shared" si="8"/>
        <v>0</v>
      </c>
      <c r="Y17" s="40">
        <f t="shared" si="21"/>
        <v>0</v>
      </c>
      <c r="Z17" s="41"/>
      <c r="AA17" s="41"/>
      <c r="AB17" s="41"/>
      <c r="AC17" s="41"/>
      <c r="AD17" s="41"/>
      <c r="AE17" s="41"/>
      <c r="AF17" s="41"/>
      <c r="AG17" s="41">
        <f t="shared" si="9"/>
        <v>810000</v>
      </c>
      <c r="AH17" s="41"/>
      <c r="AI17" s="40"/>
      <c r="AJ17" s="40"/>
      <c r="AK17" s="40">
        <f t="shared" si="10"/>
        <v>0</v>
      </c>
      <c r="AL17" s="40">
        <v>150000</v>
      </c>
      <c r="AM17" s="40"/>
      <c r="AN17" s="40">
        <f t="shared" si="2"/>
        <v>960000</v>
      </c>
      <c r="AO17" s="40">
        <f t="shared" si="3"/>
        <v>960000</v>
      </c>
      <c r="AP17" s="40">
        <f t="shared" si="11"/>
        <v>0</v>
      </c>
      <c r="AQ17" s="155"/>
      <c r="AR17" s="10">
        <f>N17</f>
        <v>0</v>
      </c>
      <c r="AS17" s="40">
        <f t="shared" si="13"/>
        <v>0</v>
      </c>
      <c r="AT17" s="40"/>
      <c r="AU17" s="40">
        <v>0</v>
      </c>
      <c r="AV17" s="40" t="s">
        <v>82</v>
      </c>
      <c r="AW17" s="42">
        <f t="shared" ref="AW17" si="22">SUM(AP17,AS17,AT17,AU17)</f>
        <v>0</v>
      </c>
      <c r="AX17" s="43" t="str">
        <f t="shared" si="4"/>
        <v>Nashwa</v>
      </c>
      <c r="AY17" s="55">
        <f t="shared" si="15"/>
        <v>960000</v>
      </c>
    </row>
    <row r="18" spans="1:51" ht="14.5">
      <c r="A18" s="70">
        <v>8</v>
      </c>
      <c r="B18" s="111" t="str">
        <f>'Data Base PPTQ Malili'!B18</f>
        <v>Israeni, S.Pd.</v>
      </c>
      <c r="C18" s="111" t="str">
        <f>'Data Base PPTQ Malili'!J18</f>
        <v>Pembina Asrama</v>
      </c>
      <c r="D18" s="113">
        <f t="shared" si="17"/>
        <v>24</v>
      </c>
      <c r="E18" s="113">
        <v>24</v>
      </c>
      <c r="F18" s="113">
        <f t="shared" si="18"/>
        <v>24</v>
      </c>
      <c r="G18" s="113">
        <v>0</v>
      </c>
      <c r="H18" s="113">
        <f t="shared" si="19"/>
        <v>24</v>
      </c>
      <c r="I18" s="114">
        <v>0</v>
      </c>
      <c r="J18" s="113">
        <v>0</v>
      </c>
      <c r="K18" s="113">
        <f t="shared" si="20"/>
        <v>24</v>
      </c>
      <c r="L18" s="113">
        <v>0</v>
      </c>
      <c r="M18" s="113">
        <v>0</v>
      </c>
      <c r="N18" s="9"/>
      <c r="O18" s="9"/>
      <c r="P18" s="9">
        <v>30</v>
      </c>
      <c r="Q18" s="9" t="str">
        <f>'Data Base PPTQ Malili'!R18</f>
        <v>S1</v>
      </c>
      <c r="R18" s="9" t="str">
        <f ca="1">'Data Base PPTQ Malili'!F18</f>
        <v>0 Tahun 1 Bulan 9 Hari</v>
      </c>
      <c r="S18" s="51">
        <v>0</v>
      </c>
      <c r="T18" s="51" t="str">
        <f>'Data Base PPTQ Malili'!G18</f>
        <v>PK</v>
      </c>
      <c r="U18" s="45"/>
      <c r="V18" s="40"/>
      <c r="W18" s="21">
        <f>'Data Base PPTQ Malili'!X18</f>
        <v>4</v>
      </c>
      <c r="X18" s="40">
        <f t="shared" si="8"/>
        <v>80000</v>
      </c>
      <c r="Y18" s="40">
        <f t="shared" si="21"/>
        <v>80000</v>
      </c>
      <c r="Z18" s="41"/>
      <c r="AA18" s="41"/>
      <c r="AB18" s="41"/>
      <c r="AC18" s="41"/>
      <c r="AD18" s="41"/>
      <c r="AE18" s="41"/>
      <c r="AF18" s="41"/>
      <c r="AG18" s="41">
        <f t="shared" si="9"/>
        <v>810000</v>
      </c>
      <c r="AH18" s="41"/>
      <c r="AI18" s="40"/>
      <c r="AJ18" s="40"/>
      <c r="AK18" s="40">
        <f t="shared" si="10"/>
        <v>0</v>
      </c>
      <c r="AL18" s="40">
        <v>150000</v>
      </c>
      <c r="AM18" s="40"/>
      <c r="AN18" s="40">
        <f t="shared" si="2"/>
        <v>960000</v>
      </c>
      <c r="AO18" s="40">
        <f t="shared" si="3"/>
        <v>1040000</v>
      </c>
      <c r="AP18" s="40">
        <f t="shared" si="11"/>
        <v>0</v>
      </c>
      <c r="AQ18" s="155"/>
      <c r="AR18" s="10">
        <f>N18</f>
        <v>0</v>
      </c>
      <c r="AS18" s="40">
        <f t="shared" si="13"/>
        <v>0</v>
      </c>
      <c r="AT18" s="40"/>
      <c r="AU18" s="40">
        <v>0</v>
      </c>
      <c r="AV18" s="40" t="s">
        <v>82</v>
      </c>
      <c r="AW18" s="42"/>
      <c r="AX18" s="43" t="str">
        <f t="shared" si="4"/>
        <v>Israeni, S.Pd.</v>
      </c>
      <c r="AY18" s="55">
        <f t="shared" si="15"/>
        <v>1040000</v>
      </c>
    </row>
    <row r="19" spans="1:51">
      <c r="A19" s="70">
        <v>9</v>
      </c>
      <c r="B19" s="111"/>
      <c r="C19" s="111"/>
      <c r="D19" s="111"/>
      <c r="E19" s="20"/>
      <c r="F19" s="20"/>
      <c r="G19" s="9"/>
      <c r="H19" s="20"/>
      <c r="I19" s="9"/>
      <c r="J19" s="9"/>
      <c r="K19" s="20"/>
      <c r="L19" s="9"/>
      <c r="M19" s="9"/>
      <c r="N19" s="9"/>
      <c r="O19" s="9"/>
      <c r="P19" s="9"/>
      <c r="Q19" s="9">
        <f>'Data Base SMP Malili'!R22</f>
        <v>0</v>
      </c>
      <c r="R19" s="9">
        <f>'Data Base Guru SD'!F44</f>
        <v>0</v>
      </c>
      <c r="S19" s="51"/>
      <c r="T19" s="51"/>
      <c r="U19" s="48"/>
      <c r="V19" s="40"/>
      <c r="W19" s="21"/>
      <c r="X19" s="40"/>
      <c r="Y19" s="40"/>
      <c r="Z19" s="41"/>
      <c r="AA19" s="41"/>
      <c r="AB19" s="41"/>
      <c r="AC19" s="41"/>
      <c r="AD19" s="41"/>
      <c r="AE19" s="41"/>
      <c r="AF19" s="41"/>
      <c r="AG19" s="41"/>
      <c r="AH19" s="41"/>
      <c r="AI19" s="40"/>
      <c r="AJ19" s="40"/>
      <c r="AK19" s="40"/>
      <c r="AL19" s="40"/>
      <c r="AM19" s="40"/>
      <c r="AN19" s="40"/>
      <c r="AO19" s="40"/>
      <c r="AP19" s="40"/>
      <c r="AQ19" s="40"/>
      <c r="AR19" s="10"/>
      <c r="AS19" s="40"/>
      <c r="AT19" s="40"/>
      <c r="AU19" s="40"/>
      <c r="AV19" s="40"/>
      <c r="AW19" s="42"/>
      <c r="AX19" s="43"/>
      <c r="AY19" s="55">
        <f>SUM(AY11:AY18)</f>
        <v>14894000</v>
      </c>
    </row>
    <row r="20" spans="1:51">
      <c r="A20" s="61"/>
      <c r="B20" s="67"/>
      <c r="C20" s="67"/>
      <c r="D20" s="67"/>
      <c r="E20" s="68"/>
      <c r="U20" s="62"/>
      <c r="V20" s="60"/>
      <c r="W20" s="63"/>
      <c r="X20" s="54"/>
      <c r="Y20" s="54"/>
      <c r="Z20" s="64"/>
      <c r="AA20" s="64"/>
      <c r="AB20" s="64"/>
      <c r="AC20" s="64"/>
      <c r="AD20" s="64"/>
      <c r="AE20" s="64"/>
      <c r="AF20" s="64"/>
      <c r="AG20" s="64"/>
      <c r="AH20" s="64"/>
      <c r="AI20" s="54"/>
      <c r="AJ20" s="54"/>
      <c r="AK20" s="60"/>
      <c r="AL20" s="60"/>
      <c r="AM20" s="69"/>
      <c r="AN20" s="54"/>
      <c r="AO20" s="54"/>
      <c r="AP20" s="54"/>
      <c r="AQ20" s="60"/>
      <c r="AR20" s="65"/>
      <c r="AS20" s="60"/>
      <c r="AT20" s="60"/>
      <c r="AU20" s="60"/>
      <c r="AV20" s="60"/>
      <c r="AW20" s="54"/>
      <c r="AX20" s="66"/>
      <c r="AY20" s="46"/>
    </row>
    <row r="21" spans="1:51">
      <c r="A21" s="61"/>
      <c r="B21" s="67"/>
      <c r="C21" s="67"/>
      <c r="D21" s="67"/>
      <c r="E21" s="68"/>
      <c r="U21" s="62"/>
      <c r="V21" s="60"/>
      <c r="W21" s="63"/>
      <c r="X21" s="54"/>
      <c r="Y21" s="54"/>
      <c r="Z21" s="64"/>
      <c r="AA21" s="64"/>
      <c r="AB21" s="64"/>
      <c r="AC21" s="64"/>
      <c r="AD21" s="64"/>
      <c r="AE21" s="64"/>
      <c r="AF21" s="64"/>
      <c r="AG21" s="64"/>
      <c r="AH21" s="64"/>
      <c r="AI21" s="54"/>
      <c r="AJ21" s="54"/>
      <c r="AK21" s="60"/>
      <c r="AL21" s="60"/>
      <c r="AM21" s="69"/>
      <c r="AN21" s="54"/>
      <c r="AO21" s="54"/>
      <c r="AP21" s="54"/>
      <c r="AQ21" s="60"/>
      <c r="AR21" s="65"/>
      <c r="AS21" s="60"/>
      <c r="AT21" s="60"/>
      <c r="AU21" s="60"/>
      <c r="AV21" s="60"/>
      <c r="AW21" s="54"/>
      <c r="AX21" s="66"/>
      <c r="AY21" s="46"/>
    </row>
    <row r="36" spans="15:51" s="58" customFormat="1">
      <c r="O36" s="53"/>
      <c r="P36" s="53"/>
      <c r="Q36" s="53"/>
      <c r="R36" s="53"/>
      <c r="AY36" s="7"/>
    </row>
    <row r="37" spans="15:51" s="58" customFormat="1" ht="14.15" customHeight="1">
      <c r="O37" s="78"/>
      <c r="P37" s="78"/>
      <c r="Q37" s="78"/>
      <c r="R37" s="78"/>
      <c r="AY37" s="7"/>
    </row>
    <row r="38" spans="15:51" s="58" customFormat="1">
      <c r="O38" s="78"/>
      <c r="P38" s="78"/>
      <c r="Q38" s="78"/>
      <c r="R38" s="78"/>
      <c r="AY38" s="7"/>
    </row>
    <row r="39" spans="15:51" s="58" customFormat="1">
      <c r="O39" s="78"/>
      <c r="P39" s="78"/>
      <c r="Q39" s="78"/>
      <c r="R39" s="78"/>
      <c r="AY39" s="7"/>
    </row>
  </sheetData>
  <mergeCells count="49">
    <mergeCell ref="AV9:AV10"/>
    <mergeCell ref="C8:C10"/>
    <mergeCell ref="P8:P10"/>
    <mergeCell ref="AM9:AM10"/>
    <mergeCell ref="AP9:AP10"/>
    <mergeCell ref="AQ9:AQ10"/>
    <mergeCell ref="AR9:AR10"/>
    <mergeCell ref="AS9:AS10"/>
    <mergeCell ref="AH9:AH10"/>
    <mergeCell ref="AI9:AI10"/>
    <mergeCell ref="AJ9:AJ10"/>
    <mergeCell ref="AK9:AK10"/>
    <mergeCell ref="AL9:AL10"/>
    <mergeCell ref="AO8:AO10"/>
    <mergeCell ref="AP8:AR8"/>
    <mergeCell ref="N8:N10"/>
    <mergeCell ref="AW8:AW10"/>
    <mergeCell ref="AX8:AX10"/>
    <mergeCell ref="AY8:AY10"/>
    <mergeCell ref="U9:U10"/>
    <mergeCell ref="V9:X9"/>
    <mergeCell ref="Z9:Z10"/>
    <mergeCell ref="U8:X8"/>
    <mergeCell ref="Y8:Y10"/>
    <mergeCell ref="Z8:AM8"/>
    <mergeCell ref="AN8:AN10"/>
    <mergeCell ref="AA9:AA10"/>
    <mergeCell ref="AB9:AE9"/>
    <mergeCell ref="AF9:AF10"/>
    <mergeCell ref="AT9:AT10"/>
    <mergeCell ref="AU9:AU10"/>
    <mergeCell ref="AG9:AG10"/>
    <mergeCell ref="O8:O10"/>
    <mergeCell ref="Q8:Q10"/>
    <mergeCell ref="R8:R10"/>
    <mergeCell ref="S8:S10"/>
    <mergeCell ref="T8:T10"/>
    <mergeCell ref="M8:M10"/>
    <mergeCell ref="A8:A10"/>
    <mergeCell ref="B8:B10"/>
    <mergeCell ref="D8:D10"/>
    <mergeCell ref="E8:E10"/>
    <mergeCell ref="F8:F10"/>
    <mergeCell ref="G8:G10"/>
    <mergeCell ref="H8:H10"/>
    <mergeCell ref="I8:I10"/>
    <mergeCell ref="J8:J10"/>
    <mergeCell ref="K8:K10"/>
    <mergeCell ref="L8:L10"/>
  </mergeCells>
  <pageMargins left="0.70866141732283461" right="0.70866141732283461" top="0.74803149606299213" bottom="0.74803149606299213" header="0.31496062992125984" footer="0.31496062992125984"/>
  <pageSetup paperSize="256" scale="56" orientation="landscape" horizontalDpi="4294967293" verticalDpi="300" r:id="rId1"/>
  <colBreaks count="1" manualBreakCount="1">
    <brk id="33" max="57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A2E1-88BD-4DD3-BFB3-0BBD9AC4EB5B}">
  <dimension ref="A2:H35"/>
  <sheetViews>
    <sheetView zoomScale="73" zoomScaleNormal="130" workbookViewId="0">
      <selection activeCell="D1" sqref="D1"/>
    </sheetView>
  </sheetViews>
  <sheetFormatPr defaultColWidth="9.1796875" defaultRowHeight="14.5"/>
  <cols>
    <col min="1" max="1" width="9.1796875" style="22"/>
    <col min="2" max="2" width="11.1796875" style="22" customWidth="1"/>
    <col min="3" max="3" width="26.7265625" style="22" customWidth="1"/>
    <col min="4" max="4" width="24.1796875" style="22" customWidth="1"/>
    <col min="5" max="5" width="19.1796875" style="22" customWidth="1"/>
    <col min="6" max="16384" width="9.1796875" style="22"/>
  </cols>
  <sheetData>
    <row r="2" spans="1:8" ht="15" thickBot="1"/>
    <row r="3" spans="1:8">
      <c r="A3" s="23"/>
      <c r="B3" s="24"/>
      <c r="C3" s="24"/>
      <c r="D3" s="264" t="s">
        <v>39</v>
      </c>
      <c r="E3" s="265"/>
      <c r="H3" s="266">
        <v>2</v>
      </c>
    </row>
    <row r="4" spans="1:8">
      <c r="A4" s="25"/>
      <c r="D4" s="267" t="s">
        <v>45</v>
      </c>
      <c r="E4" s="268"/>
      <c r="H4" s="266"/>
    </row>
    <row r="5" spans="1:8">
      <c r="A5" s="25"/>
      <c r="D5" s="26" t="s">
        <v>46</v>
      </c>
      <c r="E5" s="34">
        <f>IF(LEN(VLOOKUP(H3,'Ponpes Malili'!$A$11:$AX$49,21,FALSE))=0," ",VLOOKUP(H3,'Ponpes Malili'!$A$11:$AX$49,21,FALSE))</f>
        <v>1700000</v>
      </c>
    </row>
    <row r="6" spans="1:8">
      <c r="A6" s="25"/>
      <c r="D6" s="26" t="s">
        <v>47</v>
      </c>
      <c r="E6" s="34" t="str">
        <f>IF(LEN(VLOOKUP(H3,'Ponpes Malili'!$A$11:$AW$49,22,FALSE))=0," ",VLOOKUP(H3,'Ponpes Malili'!$A$11:$AW$49,22,FALSE))</f>
        <v xml:space="preserve"> </v>
      </c>
    </row>
    <row r="7" spans="1:8">
      <c r="A7" s="269" t="s">
        <v>40</v>
      </c>
      <c r="B7" s="270"/>
      <c r="C7" s="271"/>
      <c r="D7" s="26" t="s">
        <v>48</v>
      </c>
      <c r="E7" s="34">
        <f>IF(LEN(VLOOKUP(H3,'Ponpes Malili'!$A$11:$AW$49,24,FALSE))=0,"0",VLOOKUP(H3,'Ponpes Malili'!$A$11:$AW$49,24,FALSE))</f>
        <v>80000</v>
      </c>
    </row>
    <row r="8" spans="1:8">
      <c r="A8" s="25" t="s">
        <v>31</v>
      </c>
      <c r="B8" s="272">
        <f>IF(LEN(VLOOKUP(H3,'Ponpes Malili'!$A$11:$AX$49,1,FALSE))=0," ",VLOOKUP(H3,'Ponpes Malili'!$A$11:$AX$49,1,FALSE))</f>
        <v>2</v>
      </c>
      <c r="C8" s="273"/>
      <c r="D8" s="27" t="s">
        <v>49</v>
      </c>
      <c r="E8" s="35">
        <f>SUM(E5:E7)</f>
        <v>1780000</v>
      </c>
    </row>
    <row r="9" spans="1:8">
      <c r="A9" s="25" t="s">
        <v>38</v>
      </c>
      <c r="B9" s="272" t="str">
        <f>IF(LEN(VLOOKUP(H3,'Ponpes Malili'!$A$11:$AX$49,2,FALSE))=0," ",VLOOKUP(H3,'Ponpes Malili'!$A$11:$AX$49,2,FALSE))</f>
        <v>Ahmad</v>
      </c>
      <c r="C9" s="273"/>
      <c r="D9" s="33" t="s">
        <v>50</v>
      </c>
      <c r="E9" s="36"/>
    </row>
    <row r="10" spans="1:8">
      <c r="A10" s="25"/>
      <c r="C10" s="56"/>
      <c r="D10" s="26" t="s">
        <v>51</v>
      </c>
      <c r="E10" s="34">
        <f>IF(LEN(VLOOKUP(H3,'Ponpes Malili'!$A$11:$AW$49,26,FALSE))=0,"0",VLOOKUP(H3,'Ponpes Malili'!$A$11:$AW$49,26,FALSE))</f>
        <v>500000</v>
      </c>
    </row>
    <row r="11" spans="1:8" ht="15.75" customHeight="1">
      <c r="A11" s="274" t="str">
        <f>'Ponpes Malili'!B3</f>
        <v>Periode 26 Juni 2026 s/d 25 Juli 2026</v>
      </c>
      <c r="B11" s="275"/>
      <c r="C11" s="276"/>
      <c r="D11" s="26" t="s">
        <v>404</v>
      </c>
      <c r="E11" s="34" t="str">
        <f>IF(LEN(VLOOKUP(H3,'Ponpes Malili'!$A$11:$AW$49,27,FALSE))=0,"0",VLOOKUP(H3,'Ponpes Malili'!$A$11:$AW$49,27,FALSE))</f>
        <v>0</v>
      </c>
    </row>
    <row r="12" spans="1:8" ht="15.75" customHeight="1">
      <c r="A12" s="274" t="str">
        <f>'Ponpes Malili'!B4</f>
        <v>Ponpes</v>
      </c>
      <c r="B12" s="275"/>
      <c r="C12" s="276"/>
      <c r="D12" s="26" t="s">
        <v>52</v>
      </c>
      <c r="E12" s="39">
        <f>IF(LEN(VLOOKUP(H3,'Ponpes Malili'!$A$11:$AW$49,32,FALSE))=0,"0",VLOOKUP(H3,'Ponpes Malili'!$A$11:$AW$49,32,FALSE))</f>
        <v>100000</v>
      </c>
    </row>
    <row r="13" spans="1:8">
      <c r="A13" s="28" t="s">
        <v>41</v>
      </c>
      <c r="C13" s="38">
        <f>IF(LEN(VLOOKUP(H3,'Ponpes Malili'!$A$11:$AX$49,5,FALSE))=0," ",VLOOKUP(H3,'Ponpes Malili'!$A$11:$AX$49,5,FALSE))</f>
        <v>24</v>
      </c>
      <c r="D13" s="26" t="s">
        <v>411</v>
      </c>
      <c r="E13" s="34">
        <f>IF(LEN(VLOOKUP(H3,'Ponpes Malili'!$A$11:$AW$49,33,FALSE))=0,"0",VLOOKUP(H3,'Ponpes Malili'!$A$11:$AW$49,33,FALSE))</f>
        <v>810000</v>
      </c>
    </row>
    <row r="14" spans="1:8">
      <c r="A14" s="25" t="s">
        <v>42</v>
      </c>
      <c r="C14" s="38">
        <f>IF(LEN(VLOOKUP(H3,'Ponpes Malili'!$A$11:$AX$49,6,FALSE))=0," ",VLOOKUP(H3,'Ponpes Malili'!$A$11:$AX$49,6,FALSE))</f>
        <v>24</v>
      </c>
      <c r="D14" s="26" t="s">
        <v>410</v>
      </c>
      <c r="E14" s="34"/>
    </row>
    <row r="15" spans="1:8">
      <c r="A15" s="25" t="s">
        <v>43</v>
      </c>
      <c r="C15" s="38">
        <f>IF(LEN(VLOOKUP(H3,'Ponpes Malili'!$A$11:$AX$49,7,FALSE))=0," ",VLOOKUP(H3,'Ponpes Malili'!$A$11:$AX$49,7,FALSE))</f>
        <v>0</v>
      </c>
      <c r="D15" s="26" t="s">
        <v>54</v>
      </c>
      <c r="E15" s="34" t="str">
        <f>IF(LEN(VLOOKUP(H3,'Ponpes Malili'!$A$11:$AW$49,35,FALSE))=0,"0",VLOOKUP(H3,'Ponpes Malili'!$A$11:$AW$49,35,FALSE))</f>
        <v>0</v>
      </c>
    </row>
    <row r="16" spans="1:8">
      <c r="A16" s="25" t="s">
        <v>44</v>
      </c>
      <c r="C16" s="38">
        <f>IF(LEN(VLOOKUP(H3,'Ponpes Malili'!$A$11:$AX$49,9,FALSE))=0," ",VLOOKUP(H3,'Ponpes Malili'!$A$11:$AX$49,9,FALSE))</f>
        <v>0</v>
      </c>
      <c r="D16" s="26" t="s">
        <v>55</v>
      </c>
      <c r="E16" s="34" t="str">
        <f>IF(LEN(VLOOKUP(H3,'Ponpes Malili'!$A$11:$AW$49,36,FALSE))=0,"0",VLOOKUP(H3,'Ponpes Malili'!$A$11:$AW$49,36,FALSE))</f>
        <v>0</v>
      </c>
    </row>
    <row r="17" spans="1:5">
      <c r="A17" s="25" t="s">
        <v>403</v>
      </c>
      <c r="C17" s="38">
        <f>IF(LEN(VLOOKUP(H3,'Ponpes Malili'!$A$11:$AX$49,13,FALSE))=0," ",VLOOKUP(H3,'Ponpes Malili'!$A$11:$AX$49,13,FALSE))</f>
        <v>0</v>
      </c>
      <c r="D17" s="26" t="s">
        <v>56</v>
      </c>
      <c r="E17" s="34" t="str">
        <f>IF(LEN(VLOOKUP(H3,'Ponpes Malili'!$A$11:$AW$49,34,FALSE))=0,"0",VLOOKUP(H3,'Ponpes Malili'!$A$11:$AW$49,34,FALSE))</f>
        <v>0</v>
      </c>
    </row>
    <row r="18" spans="1:5">
      <c r="A18" s="25" t="s">
        <v>73</v>
      </c>
      <c r="C18" s="50">
        <f>IF(LEN(VLOOKUP(H3,'Ponpes Malili'!$A$11:$AX$49,10,FALSE))=0," ",VLOOKUP(H3,'Ponpes Malili'!$A$11:$AX$49,10,FALSE))</f>
        <v>0</v>
      </c>
      <c r="D18" s="26" t="s">
        <v>58</v>
      </c>
      <c r="E18" s="34">
        <f>IF(LEN(VLOOKUP(H3,'Ponpes Malili'!$A$11:$AW$49,37,FALSE))=0,"0",VLOOKUP(H3,'Ponpes Malili'!$A$11:$AW$49,37,FALSE))</f>
        <v>0</v>
      </c>
    </row>
    <row r="19" spans="1:5">
      <c r="A19" s="25" t="s">
        <v>74</v>
      </c>
      <c r="C19" s="50">
        <f>IF(LEN(VLOOKUP(H3,'Ponpes Malili'!$A$11:$AX$49,12,FALSE))=0," ",VLOOKUP(H3,'Ponpes Malili'!$A$11:$AX$49,12,FALSE))</f>
        <v>0</v>
      </c>
      <c r="D19" s="26" t="s">
        <v>59</v>
      </c>
      <c r="E19" s="34">
        <f>IF(LEN(VLOOKUP(H3,'Ponpes Malili'!$A$11:$AW$49,38,FALSE))=0,"0",VLOOKUP(H3,'Ponpes Malili'!$A$11:$AW$49,38,FALSE))</f>
        <v>150000</v>
      </c>
    </row>
    <row r="20" spans="1:5">
      <c r="A20" s="25" t="s">
        <v>81</v>
      </c>
      <c r="C20" s="52" t="str">
        <f>IF(LEN(VLOOKUP(H3,'Ponpes Malili'!$A$11:$AX$49,48,FALSE))=0,"0",VLOOKUP(H3,'Ponpes Malili'!$A$11:$AX$49,48,FALSE))</f>
        <v>A</v>
      </c>
      <c r="D20" s="26" t="s">
        <v>78</v>
      </c>
      <c r="E20" s="34">
        <f>IF(LEN(VLOOKUP(H3,'Ponpes Malili'!$A$11:$AW$49,39,FALSE))=0,"0",VLOOKUP(H3,'Ponpes Malili'!$A$11:$AW$49,39,FALSE))</f>
        <v>0</v>
      </c>
    </row>
    <row r="21" spans="1:5" ht="13.5" customHeight="1">
      <c r="A21" s="277" t="s">
        <v>57</v>
      </c>
      <c r="B21" s="278"/>
      <c r="C21" s="279"/>
      <c r="D21" s="26"/>
      <c r="E21" s="34"/>
    </row>
    <row r="22" spans="1:5">
      <c r="A22" s="277"/>
      <c r="B22" s="278"/>
      <c r="C22" s="279"/>
      <c r="D22" s="26"/>
      <c r="E22" s="34"/>
    </row>
    <row r="23" spans="1:5">
      <c r="A23" s="277"/>
      <c r="B23" s="278"/>
      <c r="C23" s="279"/>
      <c r="D23" s="26"/>
      <c r="E23" s="34"/>
    </row>
    <row r="24" spans="1:5">
      <c r="A24" s="277"/>
      <c r="B24" s="278"/>
      <c r="C24" s="279"/>
      <c r="D24" s="27" t="s">
        <v>60</v>
      </c>
      <c r="E24" s="35">
        <f>SUM(E10:E23)</f>
        <v>1560000</v>
      </c>
    </row>
    <row r="25" spans="1:5" ht="18.75" customHeight="1">
      <c r="A25" s="44" t="s">
        <v>68</v>
      </c>
      <c r="B25" s="280">
        <f ca="1">'Ponpes Malili'!B5</f>
        <v>46244</v>
      </c>
      <c r="C25" s="281"/>
      <c r="D25" s="33" t="s">
        <v>61</v>
      </c>
      <c r="E25" s="37"/>
    </row>
    <row r="26" spans="1:5">
      <c r="A26" s="29"/>
      <c r="B26" s="30"/>
      <c r="C26" s="30"/>
      <c r="D26" s="26" t="s">
        <v>62</v>
      </c>
      <c r="E26" s="34" t="str">
        <f>IF(LEN(VLOOKUP(H3,'Ponpes Malili'!$A$11:$AW$49,46,FALSE))=0,"0",VLOOKUP(H3,'Ponpes Malili'!$A$11:$AW$49,46,FALSE))</f>
        <v>0</v>
      </c>
    </row>
    <row r="27" spans="1:5">
      <c r="A27" s="25"/>
      <c r="D27" s="26" t="s">
        <v>72</v>
      </c>
      <c r="E27" s="34">
        <f>IF(LEN(VLOOKUP(H3,'Ponpes Malili'!$A$11:$AW$49,45,FALSE))=0,"0",VLOOKUP(H3,'Ponpes Malili'!$A$11:$AW$49,45,FALSE))</f>
        <v>0</v>
      </c>
    </row>
    <row r="28" spans="1:5">
      <c r="A28" s="25"/>
      <c r="D28" s="26" t="s">
        <v>63</v>
      </c>
      <c r="E28" s="34">
        <f>IF(LEN(VLOOKUP(H3,'Ponpes Malili'!$A$11:$AW$49,47,FALSE))=0,"0",VLOOKUP(H3,'Ponpes Malili'!$A$11:$AW$49,47,FALSE))</f>
        <v>0</v>
      </c>
    </row>
    <row r="29" spans="1:5">
      <c r="A29" s="25"/>
      <c r="D29" s="26" t="s">
        <v>415</v>
      </c>
      <c r="E29" s="34">
        <f>IF(LEN(VLOOKUP(H3,'Ponpes Malili'!$A$11:$AW$49,42,FALSE))=0,"0",VLOOKUP(H3,'Ponpes Malili'!$A$11:$AW$49,42,FALSE))</f>
        <v>0</v>
      </c>
    </row>
    <row r="30" spans="1:5">
      <c r="A30" s="25"/>
      <c r="D30" s="27" t="s">
        <v>64</v>
      </c>
      <c r="E30" s="35">
        <f>SUM(E26:E29)</f>
        <v>0</v>
      </c>
    </row>
    <row r="31" spans="1:5">
      <c r="A31" s="25"/>
      <c r="B31" s="22" t="s">
        <v>402</v>
      </c>
      <c r="D31" s="33" t="s">
        <v>65</v>
      </c>
      <c r="E31" s="37"/>
    </row>
    <row r="32" spans="1:5">
      <c r="A32" s="25"/>
      <c r="D32" s="27" t="s">
        <v>66</v>
      </c>
      <c r="E32" s="35">
        <f>SUM(E8,E24)</f>
        <v>3340000</v>
      </c>
    </row>
    <row r="33" spans="1:5">
      <c r="A33" s="25"/>
      <c r="D33" s="27" t="s">
        <v>64</v>
      </c>
      <c r="E33" s="35">
        <f>E30</f>
        <v>0</v>
      </c>
    </row>
    <row r="34" spans="1:5">
      <c r="A34" s="25"/>
      <c r="D34" s="282" t="s">
        <v>67</v>
      </c>
      <c r="E34" s="262">
        <f>E32-E33</f>
        <v>3340000</v>
      </c>
    </row>
    <row r="35" spans="1:5" ht="15" thickBot="1">
      <c r="A35" s="31"/>
      <c r="B35" s="32"/>
      <c r="C35" s="32"/>
      <c r="D35" s="283"/>
      <c r="E35" s="263"/>
    </row>
  </sheetData>
  <mergeCells count="12">
    <mergeCell ref="E34:E35"/>
    <mergeCell ref="D3:E3"/>
    <mergeCell ref="H3:H4"/>
    <mergeCell ref="D4:E4"/>
    <mergeCell ref="A7:C7"/>
    <mergeCell ref="B8:C8"/>
    <mergeCell ref="B9:C9"/>
    <mergeCell ref="A11:C11"/>
    <mergeCell ref="A12:C12"/>
    <mergeCell ref="A21:C24"/>
    <mergeCell ref="B25:C25"/>
    <mergeCell ref="D34:D35"/>
  </mergeCells>
  <pageMargins left="0.7" right="0.7" top="0.75" bottom="0.75" header="0.3" footer="0.3"/>
  <pageSetup scale="99" orientation="portrait" r:id="rId1"/>
  <colBreaks count="1" manualBreakCount="1">
    <brk id="5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E4755-9036-4B8A-8A3F-9851BF115087}">
  <dimension ref="A1:F14"/>
  <sheetViews>
    <sheetView zoomScaleNormal="100" workbookViewId="0">
      <selection activeCell="H10" sqref="H10"/>
    </sheetView>
  </sheetViews>
  <sheetFormatPr defaultColWidth="9.1796875" defaultRowHeight="14"/>
  <cols>
    <col min="1" max="1" width="9.1796875" style="11"/>
    <col min="2" max="2" width="30.26953125" style="11" customWidth="1"/>
    <col min="3" max="3" width="22.1796875" style="11" customWidth="1"/>
    <col min="4" max="5" width="26.7265625" style="11" customWidth="1"/>
    <col min="6" max="6" width="24.26953125" style="11" customWidth="1"/>
    <col min="7" max="16384" width="9.1796875" style="11"/>
  </cols>
  <sheetData>
    <row r="1" spans="1:6" ht="22.5" customHeight="1">
      <c r="A1" s="284" t="s">
        <v>80</v>
      </c>
      <c r="B1" s="284"/>
      <c r="C1" s="284"/>
      <c r="D1" s="284"/>
      <c r="E1" s="284"/>
      <c r="F1" s="284"/>
    </row>
    <row r="2" spans="1:6" ht="22.5" customHeight="1">
      <c r="A2" s="284" t="str">
        <f>'Ponpes Malili'!B3</f>
        <v>Periode 26 Juni 2026 s/d 25 Juli 2026</v>
      </c>
      <c r="B2" s="284"/>
      <c r="C2" s="284"/>
      <c r="D2" s="284"/>
      <c r="E2" s="284"/>
      <c r="F2" s="284"/>
    </row>
    <row r="3" spans="1:6" ht="22.5" customHeight="1">
      <c r="A3" s="285" t="str">
        <f>'Ponpes Malili'!B4</f>
        <v>Ponpes</v>
      </c>
      <c r="B3" s="285"/>
      <c r="C3" s="285"/>
      <c r="D3" s="285"/>
      <c r="E3" s="285"/>
      <c r="F3" s="285"/>
    </row>
    <row r="4" spans="1:6" ht="31">
      <c r="A4" s="14" t="s">
        <v>1</v>
      </c>
      <c r="B4" s="16" t="s">
        <v>2</v>
      </c>
      <c r="C4" s="16" t="s">
        <v>35</v>
      </c>
      <c r="D4" s="16" t="s">
        <v>36</v>
      </c>
      <c r="E4" s="16" t="s">
        <v>37</v>
      </c>
      <c r="F4" s="15" t="s">
        <v>29</v>
      </c>
    </row>
    <row r="5" spans="1:6" ht="18.75" customHeight="1">
      <c r="A5" s="12">
        <v>1</v>
      </c>
      <c r="B5" s="13" t="str">
        <f>'Ponpes Malili'!B11</f>
        <v>Umar, S.Pd.I., S.H., M.Pd</v>
      </c>
      <c r="C5" s="17">
        <f>'Ponpes Malili'!Y11</f>
        <v>1140000</v>
      </c>
      <c r="D5" s="17">
        <f>'Ponpes Malili'!AN11</f>
        <v>1896000</v>
      </c>
      <c r="E5" s="17">
        <f>'Ponpes Malili'!AW11</f>
        <v>0</v>
      </c>
      <c r="F5" s="19">
        <f>'Ponpes Malili'!AY11</f>
        <v>3036000</v>
      </c>
    </row>
    <row r="6" spans="1:6" ht="18.75" customHeight="1">
      <c r="A6" s="12">
        <v>2</v>
      </c>
      <c r="B6" s="13" t="str">
        <f>'Ponpes Malili'!B12</f>
        <v>Ahmad</v>
      </c>
      <c r="C6" s="17">
        <f>'Ponpes Malili'!Y12</f>
        <v>1780000</v>
      </c>
      <c r="D6" s="17">
        <f>'Ponpes Malili'!AN12</f>
        <v>1560000</v>
      </c>
      <c r="E6" s="17">
        <f>'Ponpes Malili'!AW12</f>
        <v>0</v>
      </c>
      <c r="F6" s="19">
        <f>'Ponpes Malili'!AY12</f>
        <v>3340000</v>
      </c>
    </row>
    <row r="7" spans="1:6" ht="18.75" customHeight="1">
      <c r="A7" s="12">
        <v>3</v>
      </c>
      <c r="B7" s="13" t="str">
        <f>'Ponpes Malili'!B13</f>
        <v>Risman</v>
      </c>
      <c r="C7" s="17">
        <f>'Ponpes Malili'!Y13</f>
        <v>1710000</v>
      </c>
      <c r="D7" s="17">
        <f>'Ponpes Malili'!AN13</f>
        <v>916000</v>
      </c>
      <c r="E7" s="17">
        <f>'Ponpes Malili'!AW13</f>
        <v>0</v>
      </c>
      <c r="F7" s="19">
        <f>'Ponpes Malili'!AY13</f>
        <v>2626000</v>
      </c>
    </row>
    <row r="8" spans="1:6" ht="18.75" customHeight="1">
      <c r="A8" s="12">
        <v>4</v>
      </c>
      <c r="B8" s="13" t="str">
        <f>'Ponpes Malili'!B14</f>
        <v>Fitriani Hornai</v>
      </c>
      <c r="C8" s="17">
        <f>'Ponpes Malili'!Y14</f>
        <v>900000</v>
      </c>
      <c r="D8" s="17">
        <f>'Ponpes Malili'!AN14</f>
        <v>986000</v>
      </c>
      <c r="E8" s="17">
        <f>'Ponpes Malili'!AW14</f>
        <v>0</v>
      </c>
      <c r="F8" s="19">
        <f>'Ponpes Malili'!AY14</f>
        <v>1886000</v>
      </c>
    </row>
    <row r="9" spans="1:6" ht="18.75" customHeight="1">
      <c r="A9" s="12">
        <v>5</v>
      </c>
      <c r="B9" s="13" t="str">
        <f>'Ponpes Malili'!B15</f>
        <v>Irma Muh. Seni S.Pd</v>
      </c>
      <c r="C9" s="17">
        <f>'Ponpes Malili'!Y15</f>
        <v>550000</v>
      </c>
      <c r="D9" s="17">
        <f>'Ponpes Malili'!AN15</f>
        <v>486000</v>
      </c>
      <c r="E9" s="17">
        <f>'Ponpes Malili'!AW15</f>
        <v>0</v>
      </c>
      <c r="F9" s="19">
        <f>'Ponpes Malili'!AY15</f>
        <v>1036000</v>
      </c>
    </row>
    <row r="10" spans="1:6" ht="18.75" customHeight="1">
      <c r="A10" s="12">
        <v>6</v>
      </c>
      <c r="B10" s="13" t="str">
        <f>'Ponpes Malili'!B16</f>
        <v>Nayla</v>
      </c>
      <c r="C10" s="17">
        <f>'Ponpes Malili'!Y16</f>
        <v>0</v>
      </c>
      <c r="D10" s="17">
        <f>'Ponpes Malili'!AN16</f>
        <v>970000</v>
      </c>
      <c r="E10" s="17">
        <f>'Ponpes Malili'!AW16</f>
        <v>0</v>
      </c>
      <c r="F10" s="19">
        <f>'Ponpes Malili'!AY16</f>
        <v>970000</v>
      </c>
    </row>
    <row r="11" spans="1:6" ht="18.75" customHeight="1">
      <c r="A11" s="12">
        <v>7</v>
      </c>
      <c r="B11" s="13" t="str">
        <f>'Ponpes Malili'!B17</f>
        <v>Nashwa</v>
      </c>
      <c r="C11" s="17">
        <f>'Ponpes Malili'!Y17</f>
        <v>0</v>
      </c>
      <c r="D11" s="17">
        <f>'Ponpes Malili'!AN17</f>
        <v>960000</v>
      </c>
      <c r="E11" s="17">
        <f>'Ponpes Malili'!AW17</f>
        <v>0</v>
      </c>
      <c r="F11" s="19">
        <f>'Ponpes Malili'!AY17</f>
        <v>960000</v>
      </c>
    </row>
    <row r="12" spans="1:6" ht="18.75" customHeight="1">
      <c r="A12" s="12">
        <v>8</v>
      </c>
      <c r="B12" s="13" t="str">
        <f>'Ponpes Malili'!B18</f>
        <v>Israeni, S.Pd.</v>
      </c>
      <c r="C12" s="17">
        <f>'Ponpes Malili'!Y18</f>
        <v>80000</v>
      </c>
      <c r="D12" s="17">
        <f>'Ponpes Malili'!AN18</f>
        <v>960000</v>
      </c>
      <c r="E12" s="17">
        <f>'Ponpes Malili'!AW18</f>
        <v>0</v>
      </c>
      <c r="F12" s="19">
        <f>'Ponpes Malili'!AY18</f>
        <v>1040000</v>
      </c>
    </row>
    <row r="13" spans="1:6" ht="18.75" customHeight="1">
      <c r="A13" s="12"/>
      <c r="B13" s="13">
        <f>'Ponpes Malili'!B20</f>
        <v>0</v>
      </c>
      <c r="C13" s="17">
        <f>'Ponpes Malili'!Y20</f>
        <v>0</v>
      </c>
      <c r="D13" s="17">
        <f>'Ponpes Malili'!AN20</f>
        <v>0</v>
      </c>
      <c r="E13" s="17">
        <f>'Ponpes Malili'!AW20</f>
        <v>0</v>
      </c>
      <c r="F13" s="19">
        <f>'Ponpes Malili'!AY20</f>
        <v>0</v>
      </c>
    </row>
    <row r="14" spans="1:6">
      <c r="A14" s="286" t="s">
        <v>32</v>
      </c>
      <c r="B14" s="286"/>
      <c r="C14" s="286"/>
      <c r="D14" s="286"/>
      <c r="E14" s="286"/>
      <c r="F14" s="18">
        <f>SUM(F5:F13)</f>
        <v>14894000</v>
      </c>
    </row>
  </sheetData>
  <mergeCells count="4">
    <mergeCell ref="A1:F1"/>
    <mergeCell ref="A2:F2"/>
    <mergeCell ref="A3:F3"/>
    <mergeCell ref="A14:E14"/>
  </mergeCells>
  <pageMargins left="0.7" right="0.7" top="0.75" bottom="0.75" header="0.3" footer="0.3"/>
  <pageSetup paperSize="1000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FBB71-9D56-4E93-ADC1-BB15C26224CE}">
  <dimension ref="A1:AA38"/>
  <sheetViews>
    <sheetView view="pageBreakPreview" zoomScale="89" zoomScaleNormal="100" zoomScaleSheetLayoutView="89" workbookViewId="0">
      <pane xSplit="3" ySplit="7" topLeftCell="U8" activePane="bottomRight" state="frozen"/>
      <selection pane="topRight" activeCell="D1" sqref="D1"/>
      <selection pane="bottomLeft" activeCell="A8" sqref="A8"/>
      <selection pane="bottomRight" activeCell="X16" sqref="X16"/>
    </sheetView>
  </sheetViews>
  <sheetFormatPr defaultColWidth="9.1796875" defaultRowHeight="14"/>
  <cols>
    <col min="1" max="1" width="3.81640625" style="58" customWidth="1"/>
    <col min="2" max="2" width="33.1796875" style="58" customWidth="1"/>
    <col min="3" max="3" width="21.54296875" style="58" customWidth="1"/>
    <col min="4" max="4" width="5.81640625" style="58" customWidth="1"/>
    <col min="5" max="13" width="5" style="58" customWidth="1"/>
    <col min="14" max="14" width="12" style="58" customWidth="1"/>
    <col min="15" max="16" width="5" style="58" customWidth="1"/>
    <col min="17" max="25" width="18.453125" style="58" customWidth="1"/>
    <col min="26" max="26" width="26.1796875" style="58" customWidth="1"/>
    <col min="27" max="27" width="17" style="7" customWidth="1"/>
    <col min="28" max="16384" width="9.1796875" style="7"/>
  </cols>
  <sheetData>
    <row r="1" spans="1:27" s="6" customFormat="1" ht="20">
      <c r="A1" s="6" t="s">
        <v>87</v>
      </c>
    </row>
    <row r="2" spans="1:27" ht="18">
      <c r="A2" s="74" t="s">
        <v>88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7" ht="18">
      <c r="A3" s="74"/>
      <c r="B3" s="7" t="s">
        <v>269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7"/>
      <c r="W3" s="7"/>
      <c r="X3" s="7"/>
      <c r="Y3" s="7"/>
      <c r="Z3" s="7"/>
    </row>
    <row r="4" spans="1:27" ht="18">
      <c r="A4" s="74"/>
      <c r="B4" s="7" t="s">
        <v>386</v>
      </c>
      <c r="C4" s="7"/>
      <c r="D4" s="7"/>
      <c r="E4" s="7"/>
      <c r="F4" s="7"/>
      <c r="G4" s="7"/>
      <c r="H4" s="7"/>
      <c r="I4" s="7"/>
      <c r="J4" s="7"/>
      <c r="K4" s="7"/>
      <c r="L4" s="75" t="s">
        <v>84</v>
      </c>
      <c r="M4" s="75"/>
      <c r="N4" s="75"/>
      <c r="O4" s="75"/>
      <c r="P4" s="75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7" ht="18">
      <c r="A5" s="74"/>
      <c r="B5" s="107">
        <f ca="1">TODAY()</f>
        <v>46244</v>
      </c>
      <c r="C5" s="107"/>
      <c r="D5" s="107"/>
      <c r="E5" s="7"/>
      <c r="F5" s="7"/>
      <c r="G5" s="7"/>
      <c r="H5" s="7"/>
      <c r="I5" s="7"/>
      <c r="J5" s="7"/>
      <c r="K5" s="7"/>
      <c r="L5" s="76" t="s">
        <v>83</v>
      </c>
      <c r="M5" s="76"/>
      <c r="N5" s="76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7" s="1" customFormat="1" ht="10.5">
      <c r="A6" s="71" t="s">
        <v>0</v>
      </c>
      <c r="B6" s="71"/>
      <c r="C6" s="112"/>
      <c r="D6" s="112"/>
    </row>
    <row r="7" spans="1:27" s="1" customFormat="1" ht="10.5">
      <c r="A7" s="59">
        <v>1</v>
      </c>
      <c r="B7" s="59">
        <v>2</v>
      </c>
      <c r="C7" s="59"/>
      <c r="D7" s="59">
        <v>3</v>
      </c>
      <c r="E7" s="59">
        <v>4</v>
      </c>
      <c r="F7" s="59">
        <v>5</v>
      </c>
      <c r="G7" s="59">
        <v>6</v>
      </c>
      <c r="H7" s="59">
        <v>7</v>
      </c>
      <c r="I7" s="59">
        <v>8</v>
      </c>
      <c r="J7" s="59">
        <v>9</v>
      </c>
      <c r="K7" s="59">
        <v>10</v>
      </c>
      <c r="L7" s="59">
        <v>11</v>
      </c>
      <c r="M7" s="59">
        <v>12</v>
      </c>
      <c r="N7" s="59">
        <v>13</v>
      </c>
      <c r="O7" s="59"/>
      <c r="P7" s="59"/>
      <c r="Q7" s="59">
        <v>25</v>
      </c>
      <c r="R7" s="59">
        <v>26</v>
      </c>
      <c r="S7" s="59">
        <v>27</v>
      </c>
      <c r="T7" s="59">
        <v>28</v>
      </c>
      <c r="U7" s="59">
        <v>29</v>
      </c>
      <c r="V7" s="59">
        <v>30</v>
      </c>
      <c r="W7" s="59">
        <v>31</v>
      </c>
      <c r="X7" s="59">
        <v>34</v>
      </c>
      <c r="Y7" s="59">
        <v>40</v>
      </c>
      <c r="Z7" s="59">
        <v>50</v>
      </c>
      <c r="AA7" s="59">
        <v>51</v>
      </c>
    </row>
    <row r="8" spans="1:27" s="1" customFormat="1" ht="23.25" customHeight="1">
      <c r="A8" s="211" t="s">
        <v>1</v>
      </c>
      <c r="B8" s="211" t="s">
        <v>2</v>
      </c>
      <c r="C8" s="211" t="s">
        <v>101</v>
      </c>
      <c r="D8" s="208" t="s">
        <v>271</v>
      </c>
      <c r="E8" s="208" t="s">
        <v>3</v>
      </c>
      <c r="F8" s="208" t="s">
        <v>4</v>
      </c>
      <c r="G8" s="208" t="s">
        <v>5</v>
      </c>
      <c r="H8" s="226" t="s">
        <v>6</v>
      </c>
      <c r="I8" s="208" t="s">
        <v>7</v>
      </c>
      <c r="J8" s="226" t="s">
        <v>75</v>
      </c>
      <c r="K8" s="226" t="s">
        <v>8</v>
      </c>
      <c r="L8" s="226" t="s">
        <v>9</v>
      </c>
      <c r="M8" s="226" t="s">
        <v>76</v>
      </c>
      <c r="N8" s="214" t="s">
        <v>77</v>
      </c>
      <c r="O8" s="223" t="s">
        <v>85</v>
      </c>
      <c r="P8" s="223" t="s">
        <v>373</v>
      </c>
      <c r="Q8" s="233"/>
      <c r="R8" s="233"/>
      <c r="S8" s="233"/>
      <c r="T8" s="233"/>
      <c r="U8" s="233"/>
      <c r="V8" s="233"/>
      <c r="W8" s="233"/>
      <c r="X8" s="233"/>
      <c r="Y8" s="234" t="s">
        <v>14</v>
      </c>
      <c r="Z8" s="259" t="s">
        <v>17</v>
      </c>
      <c r="AA8" s="259" t="s">
        <v>29</v>
      </c>
    </row>
    <row r="9" spans="1:27" s="1" customFormat="1" ht="23.25" customHeight="1">
      <c r="A9" s="212"/>
      <c r="B9" s="212"/>
      <c r="C9" s="212"/>
      <c r="D9" s="209"/>
      <c r="E9" s="209"/>
      <c r="F9" s="209"/>
      <c r="G9" s="209"/>
      <c r="H9" s="227"/>
      <c r="I9" s="209"/>
      <c r="J9" s="227"/>
      <c r="K9" s="227"/>
      <c r="L9" s="227"/>
      <c r="M9" s="227"/>
      <c r="N9" s="215"/>
      <c r="O9" s="224"/>
      <c r="P9" s="224"/>
      <c r="Q9" s="239" t="s">
        <v>20</v>
      </c>
      <c r="R9" s="240"/>
      <c r="S9" s="240"/>
      <c r="T9" s="241"/>
      <c r="U9" s="242" t="s">
        <v>86</v>
      </c>
      <c r="V9" s="237" t="s">
        <v>371</v>
      </c>
      <c r="W9" s="237" t="s">
        <v>21</v>
      </c>
      <c r="X9" s="237" t="s">
        <v>388</v>
      </c>
      <c r="Y9" s="235"/>
      <c r="Z9" s="260"/>
      <c r="AA9" s="260"/>
    </row>
    <row r="10" spans="1:27" s="1" customFormat="1" ht="23.25" customHeight="1">
      <c r="A10" s="213"/>
      <c r="B10" s="213"/>
      <c r="C10" s="213"/>
      <c r="D10" s="210"/>
      <c r="E10" s="210"/>
      <c r="F10" s="210"/>
      <c r="G10" s="210"/>
      <c r="H10" s="228"/>
      <c r="I10" s="210"/>
      <c r="J10" s="228"/>
      <c r="K10" s="228"/>
      <c r="L10" s="228"/>
      <c r="M10" s="228"/>
      <c r="N10" s="216"/>
      <c r="O10" s="225"/>
      <c r="P10" s="225"/>
      <c r="Q10" s="57">
        <v>1</v>
      </c>
      <c r="R10" s="57">
        <v>2</v>
      </c>
      <c r="S10" s="57">
        <v>3</v>
      </c>
      <c r="T10" s="57">
        <v>4</v>
      </c>
      <c r="U10" s="243"/>
      <c r="V10" s="238"/>
      <c r="W10" s="238"/>
      <c r="X10" s="238"/>
      <c r="Y10" s="236"/>
      <c r="Z10" s="261"/>
      <c r="AA10" s="261"/>
    </row>
    <row r="11" spans="1:27" ht="15" customHeight="1">
      <c r="A11" s="70">
        <v>1</v>
      </c>
      <c r="B11" s="115" t="s">
        <v>384</v>
      </c>
      <c r="C11" s="111" t="s">
        <v>387</v>
      </c>
      <c r="D11" s="113"/>
      <c r="E11" s="113"/>
      <c r="F11" s="113"/>
      <c r="G11" s="113"/>
      <c r="H11" s="113"/>
      <c r="I11" s="114"/>
      <c r="J11" s="113"/>
      <c r="K11" s="113"/>
      <c r="L11" s="113"/>
      <c r="M11" s="113"/>
      <c r="N11" s="9"/>
      <c r="O11" s="9"/>
      <c r="P11" s="9">
        <v>30</v>
      </c>
      <c r="Q11" s="41"/>
      <c r="R11" s="41"/>
      <c r="S11" s="41"/>
      <c r="T11" s="41"/>
      <c r="U11" s="109">
        <f t="shared" ref="U11:U17" si="0">SUM(Q11:T11)</f>
        <v>0</v>
      </c>
      <c r="V11" s="41">
        <f>P11*4500*6</f>
        <v>810000</v>
      </c>
      <c r="W11" s="41">
        <f>F11*5000</f>
        <v>0</v>
      </c>
      <c r="X11" s="40">
        <f>O11*10000</f>
        <v>0</v>
      </c>
      <c r="Y11" s="40">
        <f>SUM(V11,W11,X11)</f>
        <v>810000</v>
      </c>
      <c r="Z11" s="43" t="str">
        <f t="shared" ref="Z11:Z17" si="1">B11</f>
        <v>Rifki</v>
      </c>
      <c r="AA11" s="55">
        <f>Y11</f>
        <v>810000</v>
      </c>
    </row>
    <row r="12" spans="1:27" ht="15" customHeight="1">
      <c r="A12" s="70">
        <v>2</v>
      </c>
      <c r="B12" s="115" t="s">
        <v>350</v>
      </c>
      <c r="C12" s="111" t="s">
        <v>387</v>
      </c>
      <c r="D12" s="113"/>
      <c r="E12" s="113"/>
      <c r="F12" s="113"/>
      <c r="G12" s="113"/>
      <c r="H12" s="113"/>
      <c r="I12" s="114"/>
      <c r="J12" s="113"/>
      <c r="K12" s="113"/>
      <c r="L12" s="113"/>
      <c r="M12" s="113"/>
      <c r="N12" s="9"/>
      <c r="O12" s="9"/>
      <c r="P12" s="9">
        <v>30</v>
      </c>
      <c r="Q12" s="41"/>
      <c r="R12" s="41"/>
      <c r="S12" s="41"/>
      <c r="T12" s="41"/>
      <c r="U12" s="109">
        <f t="shared" si="0"/>
        <v>0</v>
      </c>
      <c r="V12" s="41">
        <f t="shared" ref="V12:V17" si="2">P12*4500*6</f>
        <v>810000</v>
      </c>
      <c r="W12" s="41">
        <f t="shared" ref="W12:W17" si="3">F12*5000</f>
        <v>0</v>
      </c>
      <c r="X12" s="40">
        <f t="shared" ref="X12:X17" si="4">O12*10000</f>
        <v>0</v>
      </c>
      <c r="Y12" s="40">
        <f t="shared" ref="Y12:Y17" si="5">SUM(V12,W12,X12)</f>
        <v>810000</v>
      </c>
      <c r="Z12" s="43" t="str">
        <f t="shared" si="1"/>
        <v>Mubin</v>
      </c>
      <c r="AA12" s="55">
        <f t="shared" ref="AA12:AA17" si="6">Y12</f>
        <v>810000</v>
      </c>
    </row>
    <row r="13" spans="1:27" ht="15" customHeight="1">
      <c r="A13" s="70">
        <v>3</v>
      </c>
      <c r="B13" s="115" t="s">
        <v>351</v>
      </c>
      <c r="C13" s="111" t="s">
        <v>387</v>
      </c>
      <c r="D13" s="113"/>
      <c r="E13" s="113"/>
      <c r="F13" s="113"/>
      <c r="G13" s="113"/>
      <c r="H13" s="113"/>
      <c r="I13" s="114"/>
      <c r="J13" s="113"/>
      <c r="K13" s="113"/>
      <c r="L13" s="113"/>
      <c r="M13" s="113"/>
      <c r="N13" s="9"/>
      <c r="O13" s="9"/>
      <c r="P13" s="9">
        <v>30</v>
      </c>
      <c r="Q13" s="41"/>
      <c r="R13" s="41"/>
      <c r="S13" s="41"/>
      <c r="T13" s="41"/>
      <c r="U13" s="109">
        <f t="shared" si="0"/>
        <v>0</v>
      </c>
      <c r="V13" s="41">
        <f t="shared" si="2"/>
        <v>810000</v>
      </c>
      <c r="W13" s="41">
        <f t="shared" si="3"/>
        <v>0</v>
      </c>
      <c r="X13" s="40">
        <f t="shared" si="4"/>
        <v>0</v>
      </c>
      <c r="Y13" s="40">
        <f t="shared" si="5"/>
        <v>810000</v>
      </c>
      <c r="Z13" s="43" t="str">
        <f t="shared" si="1"/>
        <v>Maswan</v>
      </c>
      <c r="AA13" s="55">
        <f t="shared" si="6"/>
        <v>810000</v>
      </c>
    </row>
    <row r="14" spans="1:27" ht="15" customHeight="1">
      <c r="A14" s="70">
        <v>4</v>
      </c>
      <c r="B14" s="115" t="s">
        <v>385</v>
      </c>
      <c r="C14" s="111" t="s">
        <v>387</v>
      </c>
      <c r="D14" s="113">
        <f t="shared" ref="D14" si="7">F14+I14</f>
        <v>24</v>
      </c>
      <c r="E14" s="113">
        <v>24</v>
      </c>
      <c r="F14" s="113">
        <f t="shared" ref="F14" si="8">E14-G14-I14</f>
        <v>24</v>
      </c>
      <c r="G14" s="113">
        <v>0</v>
      </c>
      <c r="H14" s="113">
        <f t="shared" ref="H14" si="9">E14-G14-I14-J14</f>
        <v>24</v>
      </c>
      <c r="I14" s="114">
        <v>0</v>
      </c>
      <c r="J14" s="113">
        <v>0</v>
      </c>
      <c r="K14" s="113">
        <f t="shared" ref="K14" si="10">E14-G14-L14-M14</f>
        <v>24</v>
      </c>
      <c r="L14" s="113">
        <v>0</v>
      </c>
      <c r="M14" s="113">
        <v>0</v>
      </c>
      <c r="N14" s="9">
        <v>0</v>
      </c>
      <c r="O14" s="9">
        <v>6</v>
      </c>
      <c r="P14" s="9"/>
      <c r="Q14" s="41"/>
      <c r="R14" s="41"/>
      <c r="S14" s="41"/>
      <c r="T14" s="41"/>
      <c r="U14" s="109">
        <f t="shared" si="0"/>
        <v>0</v>
      </c>
      <c r="V14" s="41">
        <f t="shared" si="2"/>
        <v>0</v>
      </c>
      <c r="W14" s="41">
        <f t="shared" si="3"/>
        <v>120000</v>
      </c>
      <c r="X14" s="40">
        <f t="shared" si="4"/>
        <v>60000</v>
      </c>
      <c r="Y14" s="40">
        <f t="shared" si="5"/>
        <v>180000</v>
      </c>
      <c r="Z14" s="43" t="str">
        <f t="shared" si="1"/>
        <v>Irfan</v>
      </c>
      <c r="AA14" s="55">
        <f t="shared" si="6"/>
        <v>180000</v>
      </c>
    </row>
    <row r="15" spans="1:27" ht="15" customHeight="1">
      <c r="A15" s="70">
        <v>5</v>
      </c>
      <c r="B15" s="111" t="s">
        <v>399</v>
      </c>
      <c r="C15" s="111" t="s">
        <v>387</v>
      </c>
      <c r="D15" s="113">
        <f t="shared" ref="D15:D17" si="11">F15+I15</f>
        <v>24</v>
      </c>
      <c r="E15" s="113">
        <v>24</v>
      </c>
      <c r="F15" s="113">
        <f t="shared" ref="F15:F17" si="12">E15-G15-I15</f>
        <v>24</v>
      </c>
      <c r="G15" s="113">
        <v>0</v>
      </c>
      <c r="H15" s="113">
        <f t="shared" ref="H15:H17" si="13">E15-G15-I15-J15</f>
        <v>24</v>
      </c>
      <c r="I15" s="114">
        <v>0</v>
      </c>
      <c r="J15" s="113">
        <v>0</v>
      </c>
      <c r="K15" s="113">
        <f t="shared" ref="K15:K17" si="14">E15-G15-L15-M15</f>
        <v>24</v>
      </c>
      <c r="L15" s="113">
        <v>0</v>
      </c>
      <c r="M15" s="113">
        <v>0</v>
      </c>
      <c r="N15" s="9"/>
      <c r="O15" s="9">
        <v>168</v>
      </c>
      <c r="P15" s="9"/>
      <c r="Q15" s="41">
        <v>100000</v>
      </c>
      <c r="R15" s="41"/>
      <c r="S15" s="41"/>
      <c r="T15" s="41"/>
      <c r="U15" s="109">
        <f t="shared" si="0"/>
        <v>100000</v>
      </c>
      <c r="V15" s="41">
        <f t="shared" si="2"/>
        <v>0</v>
      </c>
      <c r="W15" s="41">
        <f t="shared" si="3"/>
        <v>120000</v>
      </c>
      <c r="X15" s="40">
        <f t="shared" si="4"/>
        <v>1680000</v>
      </c>
      <c r="Y15" s="40">
        <f t="shared" si="5"/>
        <v>1800000</v>
      </c>
      <c r="Z15" s="43" t="str">
        <f t="shared" si="1"/>
        <v>Fauziah</v>
      </c>
      <c r="AA15" s="55">
        <f>Y15</f>
        <v>1800000</v>
      </c>
    </row>
    <row r="16" spans="1:27" ht="15" customHeight="1">
      <c r="A16" s="70">
        <v>6</v>
      </c>
      <c r="B16" s="111" t="s">
        <v>400</v>
      </c>
      <c r="C16" s="111" t="s">
        <v>387</v>
      </c>
      <c r="D16" s="113">
        <f t="shared" si="11"/>
        <v>24</v>
      </c>
      <c r="E16" s="113">
        <v>24</v>
      </c>
      <c r="F16" s="113">
        <f t="shared" si="12"/>
        <v>24</v>
      </c>
      <c r="G16" s="113">
        <v>0</v>
      </c>
      <c r="H16" s="113">
        <f t="shared" si="13"/>
        <v>24</v>
      </c>
      <c r="I16" s="114">
        <v>0</v>
      </c>
      <c r="J16" s="113">
        <v>0</v>
      </c>
      <c r="K16" s="113">
        <f t="shared" si="14"/>
        <v>24</v>
      </c>
      <c r="L16" s="113">
        <v>0</v>
      </c>
      <c r="M16" s="113">
        <v>0</v>
      </c>
      <c r="N16" s="9"/>
      <c r="O16" s="9">
        <v>176</v>
      </c>
      <c r="P16" s="9"/>
      <c r="Q16" s="41"/>
      <c r="R16" s="41"/>
      <c r="S16" s="41"/>
      <c r="T16" s="41"/>
      <c r="U16" s="109">
        <f t="shared" si="0"/>
        <v>0</v>
      </c>
      <c r="V16" s="41">
        <f t="shared" si="2"/>
        <v>0</v>
      </c>
      <c r="W16" s="41">
        <f t="shared" si="3"/>
        <v>120000</v>
      </c>
      <c r="X16" s="40">
        <f t="shared" si="4"/>
        <v>1760000</v>
      </c>
      <c r="Y16" s="40">
        <f t="shared" si="5"/>
        <v>1880000</v>
      </c>
      <c r="Z16" s="43" t="str">
        <f t="shared" si="1"/>
        <v>Nabila</v>
      </c>
      <c r="AA16" s="55">
        <f t="shared" si="6"/>
        <v>1880000</v>
      </c>
    </row>
    <row r="17" spans="1:27" s="9" customFormat="1" ht="14.5">
      <c r="A17" s="70">
        <v>7</v>
      </c>
      <c r="B17" s="111" t="s">
        <v>401</v>
      </c>
      <c r="C17" s="111" t="s">
        <v>387</v>
      </c>
      <c r="D17" s="113">
        <f t="shared" si="11"/>
        <v>24</v>
      </c>
      <c r="E17" s="113">
        <v>24</v>
      </c>
      <c r="F17" s="113">
        <f t="shared" si="12"/>
        <v>24</v>
      </c>
      <c r="G17" s="113">
        <v>0</v>
      </c>
      <c r="H17" s="113">
        <f t="shared" si="13"/>
        <v>24</v>
      </c>
      <c r="I17" s="114">
        <v>0</v>
      </c>
      <c r="J17" s="113">
        <v>0</v>
      </c>
      <c r="K17" s="113">
        <f t="shared" si="14"/>
        <v>24</v>
      </c>
      <c r="L17" s="113">
        <v>0</v>
      </c>
      <c r="M17" s="113">
        <v>0</v>
      </c>
      <c r="O17" s="9">
        <v>88</v>
      </c>
      <c r="Q17" s="41">
        <v>100000</v>
      </c>
      <c r="R17" s="41"/>
      <c r="S17" s="41"/>
      <c r="T17" s="41"/>
      <c r="U17" s="109">
        <f t="shared" si="0"/>
        <v>100000</v>
      </c>
      <c r="V17" s="41">
        <f t="shared" si="2"/>
        <v>0</v>
      </c>
      <c r="W17" s="41">
        <f t="shared" si="3"/>
        <v>120000</v>
      </c>
      <c r="X17" s="40">
        <f t="shared" si="4"/>
        <v>880000</v>
      </c>
      <c r="Y17" s="40">
        <f t="shared" si="5"/>
        <v>1000000</v>
      </c>
      <c r="Z17" s="43" t="str">
        <f t="shared" si="1"/>
        <v>Iffa</v>
      </c>
      <c r="AA17" s="55">
        <f t="shared" si="6"/>
        <v>1000000</v>
      </c>
    </row>
    <row r="18" spans="1:27" s="9" customFormat="1" ht="14.5">
      <c r="A18" s="70">
        <v>8</v>
      </c>
      <c r="B18" s="111"/>
      <c r="C18" s="111"/>
      <c r="D18" s="113"/>
      <c r="E18" s="113"/>
      <c r="F18" s="113"/>
      <c r="G18" s="113"/>
      <c r="H18" s="113"/>
      <c r="I18" s="114"/>
      <c r="J18" s="113"/>
      <c r="K18" s="113"/>
      <c r="L18" s="113"/>
      <c r="M18" s="113"/>
      <c r="Q18" s="41"/>
      <c r="R18" s="41"/>
      <c r="S18" s="41"/>
      <c r="T18" s="41"/>
      <c r="U18" s="41"/>
      <c r="V18" s="41"/>
      <c r="W18" s="41"/>
      <c r="X18" s="40"/>
      <c r="Y18" s="40"/>
      <c r="Z18" s="43"/>
      <c r="AA18" s="156">
        <f>SUM(AA11:AA17)</f>
        <v>7290000</v>
      </c>
    </row>
    <row r="19" spans="1:27">
      <c r="A19" s="61"/>
      <c r="B19" s="67"/>
      <c r="C19" s="67"/>
      <c r="D19" s="67"/>
      <c r="E19" s="68"/>
      <c r="Q19" s="64"/>
      <c r="R19" s="64"/>
      <c r="S19" s="64"/>
      <c r="T19" s="64"/>
      <c r="U19" s="64"/>
      <c r="V19" s="64"/>
      <c r="W19" s="64"/>
      <c r="X19" s="60"/>
      <c r="Y19" s="54"/>
      <c r="Z19" s="66"/>
      <c r="AA19" s="46"/>
    </row>
    <row r="20" spans="1:27">
      <c r="A20" s="61"/>
      <c r="B20" s="67"/>
      <c r="C20" s="67"/>
      <c r="D20" s="67"/>
      <c r="E20" s="68"/>
      <c r="Q20" s="64"/>
      <c r="R20" s="64"/>
      <c r="S20" s="64"/>
      <c r="T20" s="64"/>
      <c r="U20" s="64"/>
      <c r="V20" s="64"/>
      <c r="W20" s="64"/>
      <c r="X20" s="60"/>
      <c r="Y20" s="54"/>
      <c r="Z20" s="66"/>
      <c r="AA20" s="46"/>
    </row>
    <row r="35" spans="15:27" s="58" customFormat="1">
      <c r="O35" s="53"/>
      <c r="P35" s="53"/>
      <c r="AA35" s="7"/>
    </row>
    <row r="36" spans="15:27" s="58" customFormat="1" ht="14.15" customHeight="1">
      <c r="O36" s="78"/>
      <c r="P36" s="78"/>
      <c r="AA36" s="7"/>
    </row>
    <row r="37" spans="15:27" s="58" customFormat="1">
      <c r="O37" s="78"/>
      <c r="P37" s="78"/>
      <c r="AA37" s="7"/>
    </row>
    <row r="38" spans="15:27" s="58" customFormat="1">
      <c r="O38" s="78"/>
      <c r="P38" s="78"/>
      <c r="AA38" s="7"/>
    </row>
  </sheetData>
  <mergeCells count="25">
    <mergeCell ref="AA8:AA10"/>
    <mergeCell ref="Q9:T9"/>
    <mergeCell ref="U9:U10"/>
    <mergeCell ref="V9:V10"/>
    <mergeCell ref="Q8:X8"/>
    <mergeCell ref="Y8:Y10"/>
    <mergeCell ref="Z8:Z10"/>
    <mergeCell ref="W9:W10"/>
    <mergeCell ref="X9:X10"/>
    <mergeCell ref="M8:M10"/>
    <mergeCell ref="N8:N10"/>
    <mergeCell ref="O8:O10"/>
    <mergeCell ref="P8:P10"/>
    <mergeCell ref="G8:G10"/>
    <mergeCell ref="H8:H10"/>
    <mergeCell ref="I8:I10"/>
    <mergeCell ref="J8:J10"/>
    <mergeCell ref="K8:K10"/>
    <mergeCell ref="L8:L10"/>
    <mergeCell ref="F8:F10"/>
    <mergeCell ref="A8:A10"/>
    <mergeCell ref="B8:B10"/>
    <mergeCell ref="C8:C10"/>
    <mergeCell ref="D8:D10"/>
    <mergeCell ref="E8:E10"/>
  </mergeCells>
  <pageMargins left="0.70866141732283461" right="0.70866141732283461" top="0.74803149606299213" bottom="0.74803149606299213" header="0.31496062992125984" footer="0.31496062992125984"/>
  <pageSetup paperSize="256" scale="56" orientation="landscape" horizontalDpi="4294967293" verticalDpi="300" r:id="rId1"/>
  <colBreaks count="1" manualBreakCount="1">
    <brk id="22" max="1048575" man="1"/>
  </colBreaks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674B1-9F54-43C1-B8DE-71DD20189693}">
  <dimension ref="A1:D38"/>
  <sheetViews>
    <sheetView view="pageBreakPreview" zoomScale="89" zoomScaleNormal="100" zoomScaleSheetLayoutView="89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18" sqref="D18"/>
    </sheetView>
  </sheetViews>
  <sheetFormatPr defaultColWidth="9.1796875" defaultRowHeight="14"/>
  <cols>
    <col min="1" max="1" width="3.81640625" style="58" customWidth="1"/>
    <col min="2" max="2" width="33.1796875" style="58" customWidth="1"/>
    <col min="3" max="3" width="21.54296875" style="58" customWidth="1"/>
    <col min="4" max="4" width="17" style="7" customWidth="1"/>
    <col min="5" max="16384" width="9.1796875" style="7"/>
  </cols>
  <sheetData>
    <row r="1" spans="1:4" s="6" customFormat="1" ht="20">
      <c r="A1" s="6" t="s">
        <v>87</v>
      </c>
    </row>
    <row r="2" spans="1:4" ht="18">
      <c r="A2" s="74" t="s">
        <v>88</v>
      </c>
      <c r="B2" s="7"/>
      <c r="C2" s="7"/>
    </row>
    <row r="3" spans="1:4" ht="18">
      <c r="A3" s="74"/>
      <c r="B3" s="7" t="s">
        <v>269</v>
      </c>
      <c r="C3" s="7"/>
    </row>
    <row r="4" spans="1:4" ht="18">
      <c r="A4" s="74"/>
      <c r="B4" s="7" t="s">
        <v>386</v>
      </c>
      <c r="C4" s="7"/>
    </row>
    <row r="5" spans="1:4" ht="18">
      <c r="A5" s="74"/>
      <c r="B5" s="107">
        <f ca="1">TODAY()</f>
        <v>46244</v>
      </c>
      <c r="C5" s="107"/>
    </row>
    <row r="6" spans="1:4" s="1" customFormat="1" ht="10.5">
      <c r="A6" s="71" t="s">
        <v>0</v>
      </c>
      <c r="B6" s="71"/>
      <c r="C6" s="112"/>
    </row>
    <row r="7" spans="1:4" s="1" customFormat="1" ht="10.5">
      <c r="A7" s="59">
        <v>1</v>
      </c>
      <c r="B7" s="59">
        <v>2</v>
      </c>
      <c r="C7" s="59"/>
      <c r="D7" s="59">
        <v>51</v>
      </c>
    </row>
    <row r="8" spans="1:4" s="1" customFormat="1" ht="23.25" customHeight="1">
      <c r="A8" s="211" t="s">
        <v>1</v>
      </c>
      <c r="B8" s="211" t="s">
        <v>2</v>
      </c>
      <c r="C8" s="211" t="s">
        <v>101</v>
      </c>
      <c r="D8" s="259" t="s">
        <v>29</v>
      </c>
    </row>
    <row r="9" spans="1:4" s="1" customFormat="1" ht="23.25" customHeight="1">
      <c r="A9" s="212"/>
      <c r="B9" s="212"/>
      <c r="C9" s="212"/>
      <c r="D9" s="260"/>
    </row>
    <row r="10" spans="1:4" s="1" customFormat="1" ht="23.25" customHeight="1">
      <c r="A10" s="213"/>
      <c r="B10" s="213"/>
      <c r="C10" s="213"/>
      <c r="D10" s="261"/>
    </row>
    <row r="11" spans="1:4" ht="15" customHeight="1">
      <c r="A11" s="70">
        <v>1</v>
      </c>
      <c r="B11" s="115" t="s">
        <v>391</v>
      </c>
      <c r="C11" s="115" t="s">
        <v>267</v>
      </c>
      <c r="D11" s="55">
        <v>1000000</v>
      </c>
    </row>
    <row r="12" spans="1:4" ht="15" customHeight="1">
      <c r="A12" s="70">
        <v>2</v>
      </c>
      <c r="B12" s="115" t="s">
        <v>268</v>
      </c>
      <c r="C12" s="115" t="s">
        <v>267</v>
      </c>
      <c r="D12" s="55">
        <v>1100000</v>
      </c>
    </row>
    <row r="13" spans="1:4" ht="15" customHeight="1">
      <c r="A13" s="70">
        <v>3</v>
      </c>
      <c r="B13" s="115" t="s">
        <v>367</v>
      </c>
      <c r="C13" s="115" t="s">
        <v>395</v>
      </c>
      <c r="D13" s="55">
        <v>1500000</v>
      </c>
    </row>
    <row r="14" spans="1:4" ht="15" customHeight="1">
      <c r="A14" s="70">
        <v>4</v>
      </c>
      <c r="B14" s="115" t="s">
        <v>392</v>
      </c>
      <c r="C14" s="115" t="s">
        <v>396</v>
      </c>
      <c r="D14" s="55">
        <v>2000000</v>
      </c>
    </row>
    <row r="15" spans="1:4" ht="15" customHeight="1">
      <c r="A15" s="70">
        <v>5</v>
      </c>
      <c r="B15" s="115" t="s">
        <v>354</v>
      </c>
      <c r="C15" s="115" t="s">
        <v>396</v>
      </c>
      <c r="D15" s="55">
        <v>2000000</v>
      </c>
    </row>
    <row r="16" spans="1:4" ht="15" customHeight="1">
      <c r="A16" s="70">
        <v>6</v>
      </c>
      <c r="B16" s="115" t="s">
        <v>393</v>
      </c>
      <c r="C16" s="115" t="s">
        <v>396</v>
      </c>
      <c r="D16" s="55">
        <v>1000000</v>
      </c>
    </row>
    <row r="17" spans="1:4" s="9" customFormat="1" ht="14.5">
      <c r="A17" s="70">
        <v>7</v>
      </c>
      <c r="B17" s="115" t="s">
        <v>394</v>
      </c>
      <c r="C17" s="115" t="s">
        <v>396</v>
      </c>
      <c r="D17" s="55">
        <v>1000000</v>
      </c>
    </row>
    <row r="18" spans="1:4" s="9" customFormat="1">
      <c r="A18" s="70">
        <v>8</v>
      </c>
      <c r="B18" s="111"/>
      <c r="C18" s="111"/>
      <c r="D18" s="156">
        <f>SUM(D11:D17)</f>
        <v>9600000</v>
      </c>
    </row>
    <row r="19" spans="1:4">
      <c r="A19" s="61"/>
      <c r="B19" s="67"/>
      <c r="C19" s="67"/>
      <c r="D19" s="46"/>
    </row>
    <row r="20" spans="1:4">
      <c r="A20" s="61"/>
      <c r="B20" s="67"/>
      <c r="C20" s="67"/>
      <c r="D20" s="46"/>
    </row>
    <row r="35" spans="4:4" s="58" customFormat="1">
      <c r="D35" s="7"/>
    </row>
    <row r="36" spans="4:4" s="58" customFormat="1" ht="14.15" customHeight="1">
      <c r="D36" s="7"/>
    </row>
    <row r="37" spans="4:4" s="58" customFormat="1">
      <c r="D37" s="7"/>
    </row>
    <row r="38" spans="4:4" s="58" customFormat="1">
      <c r="D38" s="7"/>
    </row>
  </sheetData>
  <mergeCells count="4">
    <mergeCell ref="D8:D10"/>
    <mergeCell ref="A8:A10"/>
    <mergeCell ref="B8:B10"/>
    <mergeCell ref="C8:C10"/>
  </mergeCells>
  <pageMargins left="0.70866141732283461" right="0.70866141732283461" top="0.74803149606299213" bottom="0.74803149606299213" header="0.31496062992125984" footer="0.31496062992125984"/>
  <pageSetup paperSize="256" scale="56" orientation="landscape" horizontalDpi="4294967293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6AC10-52E0-488A-BE6B-9E6DFB66BBCC}">
  <dimension ref="A6:C14"/>
  <sheetViews>
    <sheetView topLeftCell="A5" workbookViewId="0">
      <selection activeCell="E8" sqref="E8"/>
    </sheetView>
  </sheetViews>
  <sheetFormatPr defaultRowHeight="14.5"/>
  <cols>
    <col min="2" max="2" width="28.81640625" customWidth="1"/>
    <col min="3" max="3" width="37.453125" customWidth="1"/>
  </cols>
  <sheetData>
    <row r="6" spans="1:3" ht="15.5">
      <c r="A6" s="14" t="s">
        <v>1</v>
      </c>
      <c r="B6" s="16" t="s">
        <v>382</v>
      </c>
      <c r="C6" s="16" t="s">
        <v>383</v>
      </c>
    </row>
    <row r="7" spans="1:3" ht="15.5">
      <c r="A7" s="12">
        <v>1</v>
      </c>
      <c r="B7" s="13" t="s">
        <v>368</v>
      </c>
      <c r="C7" s="17">
        <f>'REKAP KAFALAH TK'!F12</f>
        <v>9384000</v>
      </c>
    </row>
    <row r="8" spans="1:3" ht="15.5">
      <c r="A8" s="12">
        <v>2</v>
      </c>
      <c r="B8" s="13" t="s">
        <v>273</v>
      </c>
      <c r="C8" s="17">
        <f>'REKAP KAFALAH SD'!F42</f>
        <v>93785000</v>
      </c>
    </row>
    <row r="9" spans="1:3" ht="15.5">
      <c r="A9" s="12">
        <v>3</v>
      </c>
      <c r="B9" s="13" t="s">
        <v>369</v>
      </c>
      <c r="C9" s="17">
        <f>'REKAP KAFALAH SMP'!F17</f>
        <v>22158000</v>
      </c>
    </row>
    <row r="10" spans="1:3" ht="15.5">
      <c r="A10" s="12">
        <v>4</v>
      </c>
      <c r="B10" s="13" t="s">
        <v>155</v>
      </c>
      <c r="C10" s="17">
        <f>'REKAP KAFALAH SMA'!F13</f>
        <v>6318000</v>
      </c>
    </row>
    <row r="11" spans="1:3" ht="15.5">
      <c r="A11" s="12">
        <v>5</v>
      </c>
      <c r="B11" s="13" t="s">
        <v>370</v>
      </c>
      <c r="C11" s="17">
        <f>'REKAP KAFALAH PONPES'!F14</f>
        <v>14894000</v>
      </c>
    </row>
    <row r="12" spans="1:3" ht="15.5">
      <c r="A12" s="12">
        <v>6</v>
      </c>
      <c r="B12" s="13" t="s">
        <v>389</v>
      </c>
      <c r="C12" s="17">
        <f>'Guru Inval'!AA18</f>
        <v>7290000</v>
      </c>
    </row>
    <row r="13" spans="1:3" ht="15.5">
      <c r="A13" s="12">
        <v>7</v>
      </c>
      <c r="B13" s="13" t="s">
        <v>390</v>
      </c>
      <c r="C13" s="17">
        <f>'Non Tendik'!D18</f>
        <v>9600000</v>
      </c>
    </row>
    <row r="14" spans="1:3" ht="15.5">
      <c r="A14" s="12"/>
      <c r="B14" s="158" t="s">
        <v>32</v>
      </c>
      <c r="C14" s="157">
        <f>SUM(C7:C13)</f>
        <v>163429000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10</vt:i4>
      </vt:variant>
    </vt:vector>
  </HeadingPairs>
  <TitlesOfParts>
    <vt:vector size="35" baseType="lpstr">
      <vt:lpstr>Tabel Gaji Guru Tetap</vt:lpstr>
      <vt:lpstr>Tabel Gaji Kontrak</vt:lpstr>
      <vt:lpstr>Data Base TK Malili</vt:lpstr>
      <vt:lpstr>TK Malili</vt:lpstr>
      <vt:lpstr>Slip Gaji TK</vt:lpstr>
      <vt:lpstr>REKAP KAFALAH TK</vt:lpstr>
      <vt:lpstr>Data Base Guru SD</vt:lpstr>
      <vt:lpstr>SDIT IR Malili </vt:lpstr>
      <vt:lpstr>Slip Gaji SD</vt:lpstr>
      <vt:lpstr>REKAP KAFALAH SD</vt:lpstr>
      <vt:lpstr>Data Base SMP Malili</vt:lpstr>
      <vt:lpstr>SMP Malili</vt:lpstr>
      <vt:lpstr>Slip Gaji SMP</vt:lpstr>
      <vt:lpstr>REKAP KAFALAH SMP</vt:lpstr>
      <vt:lpstr>Data Base SMA PPIB</vt:lpstr>
      <vt:lpstr>SMA PIPB</vt:lpstr>
      <vt:lpstr>Slip Gaji SMA</vt:lpstr>
      <vt:lpstr>REKAP KAFALAH SMA</vt:lpstr>
      <vt:lpstr>Data Base PPTQ Malili</vt:lpstr>
      <vt:lpstr>Ponpes Malili</vt:lpstr>
      <vt:lpstr>Slip Gaji Ponpes</vt:lpstr>
      <vt:lpstr>REKAP KAFALAH PONPES</vt:lpstr>
      <vt:lpstr>Guru Inval</vt:lpstr>
      <vt:lpstr>Non Tendik</vt:lpstr>
      <vt:lpstr>Total Rekap Unit</vt:lpstr>
      <vt:lpstr>'Ponpes Malili'!Print_Area</vt:lpstr>
      <vt:lpstr>'REKAP KAFALAH PONPES'!Print_Area</vt:lpstr>
      <vt:lpstr>'REKAP KAFALAH SD'!Print_Area</vt:lpstr>
      <vt:lpstr>'REKAP KAFALAH SMA'!Print_Area</vt:lpstr>
      <vt:lpstr>'REKAP KAFALAH SMP'!Print_Area</vt:lpstr>
      <vt:lpstr>'REKAP KAFALAH TK'!Print_Area</vt:lpstr>
      <vt:lpstr>'SDIT IR Malili '!Print_Area</vt:lpstr>
      <vt:lpstr>'SMA PIPB'!Print_Area</vt:lpstr>
      <vt:lpstr>'SMP Malili'!Print_Area</vt:lpstr>
      <vt:lpstr>'TK Malili'!Print_Area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Yusuf Amir</dc:creator>
  <cp:lastModifiedBy>ACER A14</cp:lastModifiedBy>
  <cp:lastPrinted>2026-07-27T12:36:30Z</cp:lastPrinted>
  <dcterms:created xsi:type="dcterms:W3CDTF">2019-08-12T05:26:46Z</dcterms:created>
  <dcterms:modified xsi:type="dcterms:W3CDTF">2026-08-10T07:01:19Z</dcterms:modified>
</cp:coreProperties>
</file>